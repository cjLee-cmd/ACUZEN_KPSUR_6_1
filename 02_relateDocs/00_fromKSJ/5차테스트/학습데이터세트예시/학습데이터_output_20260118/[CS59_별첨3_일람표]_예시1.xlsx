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output예시_20260102\"/>
    </mc:Choice>
  </mc:AlternateContent>
  <xr:revisionPtr revIDLastSave="0" documentId="13_ncr:1_{33C4FF34-61DF-41A4-B247-FA141AEEAC98}" xr6:coauthVersionLast="47" xr6:coauthVersionMax="47" xr10:uidLastSave="{00000000-0000-0000-0000-000000000000}"/>
  <bookViews>
    <workbookView xWindow="-108" yWindow="-108" windowWidth="23256" windowHeight="12456" xr2:uid="{B92B30D7-6978-432C-B459-B4830A903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6" i="1" l="1"/>
  <c r="S26" i="1"/>
  <c r="U25" i="1"/>
  <c r="S25" i="1"/>
  <c r="T25" i="1" s="1"/>
  <c r="U17" i="1"/>
  <c r="S17" i="1"/>
  <c r="T17" i="1" s="1"/>
  <c r="R26" i="1"/>
  <c r="R25" i="1"/>
  <c r="R23" i="1"/>
  <c r="R22" i="1"/>
  <c r="R21" i="1"/>
  <c r="R20" i="1"/>
  <c r="R18" i="1"/>
  <c r="R17" i="1"/>
  <c r="R16" i="1"/>
  <c r="R14" i="1"/>
  <c r="R13" i="1"/>
  <c r="R12" i="1"/>
  <c r="R10" i="1"/>
  <c r="R9" i="1"/>
  <c r="R8" i="1"/>
  <c r="Q25" i="1"/>
  <c r="Q18" i="1"/>
  <c r="Q17" i="1"/>
  <c r="Q16" i="1"/>
  <c r="Q10" i="1"/>
  <c r="Q9" i="1"/>
  <c r="Q8" i="1"/>
  <c r="P26" i="1"/>
  <c r="P25" i="1"/>
  <c r="P23" i="1"/>
  <c r="Q23" i="1" s="1"/>
  <c r="P22" i="1"/>
  <c r="Q22" i="1" s="1"/>
  <c r="P21" i="1"/>
  <c r="Q21" i="1" s="1"/>
  <c r="P20" i="1"/>
  <c r="Q20" i="1" s="1"/>
  <c r="P18" i="1"/>
  <c r="P17" i="1"/>
  <c r="P16" i="1"/>
  <c r="P14" i="1"/>
  <c r="Q14" i="1" s="1"/>
  <c r="P13" i="1"/>
  <c r="Q13" i="1" s="1"/>
  <c r="P12" i="1"/>
  <c r="Q12" i="1" s="1"/>
  <c r="P10" i="1"/>
  <c r="P9" i="1"/>
  <c r="P8" i="1"/>
  <c r="F7" i="1"/>
  <c r="M24" i="1"/>
  <c r="M23" i="1"/>
  <c r="M19" i="1" s="1"/>
  <c r="M22" i="1"/>
  <c r="M21" i="1"/>
  <c r="M20" i="1"/>
  <c r="M18" i="1"/>
  <c r="M16" i="1"/>
  <c r="M15" i="1" s="1"/>
  <c r="M14" i="1"/>
  <c r="M13" i="1"/>
  <c r="M12" i="1"/>
  <c r="M10" i="1"/>
  <c r="M9" i="1"/>
  <c r="M8" i="1"/>
  <c r="J24" i="1"/>
  <c r="J19" i="1"/>
  <c r="J15" i="1"/>
  <c r="J11" i="1"/>
  <c r="J7" i="1"/>
  <c r="D24" i="1"/>
  <c r="P24" i="1" s="1"/>
  <c r="Q24" i="1" s="1"/>
  <c r="D19" i="1"/>
  <c r="P19" i="1" s="1"/>
  <c r="Q19" i="1" s="1"/>
  <c r="D15" i="1"/>
  <c r="P15" i="1" s="1"/>
  <c r="Q15" i="1" s="1"/>
  <c r="D11" i="1"/>
  <c r="P11" i="1" s="1"/>
  <c r="Q11" i="1" s="1"/>
  <c r="D7" i="1"/>
  <c r="P7" i="1" s="1"/>
  <c r="Q7" i="1" s="1"/>
  <c r="G24" i="1"/>
  <c r="S24" i="1" s="1"/>
  <c r="T24" i="1" s="1"/>
  <c r="G23" i="1"/>
  <c r="S23" i="1" s="1"/>
  <c r="T23" i="1" s="1"/>
  <c r="G22" i="1"/>
  <c r="S22" i="1" s="1"/>
  <c r="T22" i="1" s="1"/>
  <c r="G21" i="1"/>
  <c r="S21" i="1" s="1"/>
  <c r="T21" i="1" s="1"/>
  <c r="G20" i="1"/>
  <c r="G19" i="1" s="1"/>
  <c r="S19" i="1" s="1"/>
  <c r="T19" i="1" s="1"/>
  <c r="G18" i="1"/>
  <c r="S18" i="1" s="1"/>
  <c r="T18" i="1" s="1"/>
  <c r="G16" i="1"/>
  <c r="S16" i="1" s="1"/>
  <c r="T16" i="1" s="1"/>
  <c r="G14" i="1"/>
  <c r="S14" i="1" s="1"/>
  <c r="T14" i="1" s="1"/>
  <c r="G13" i="1"/>
  <c r="S13" i="1" s="1"/>
  <c r="T13" i="1" s="1"/>
  <c r="G12" i="1"/>
  <c r="S12" i="1" s="1"/>
  <c r="T12" i="1" s="1"/>
  <c r="G10" i="1"/>
  <c r="S10" i="1" s="1"/>
  <c r="T10" i="1" s="1"/>
  <c r="G9" i="1"/>
  <c r="S9" i="1" s="1"/>
  <c r="G8" i="1"/>
  <c r="G7" i="1" s="1"/>
  <c r="S8" i="1" l="1"/>
  <c r="T8" i="1" s="1"/>
  <c r="S20" i="1"/>
  <c r="T20" i="1" s="1"/>
  <c r="T9" i="1"/>
  <c r="M7" i="1"/>
  <c r="S7" i="1" s="1"/>
  <c r="T7" i="1" s="1"/>
  <c r="M11" i="1"/>
  <c r="G11" i="1"/>
  <c r="S11" i="1" s="1"/>
  <c r="T11" i="1" s="1"/>
  <c r="G15" i="1"/>
  <c r="S15" i="1" s="1"/>
  <c r="T15" i="1" s="1"/>
  <c r="O24" i="1"/>
  <c r="L24" i="1"/>
  <c r="O23" i="1"/>
  <c r="O22" i="1"/>
  <c r="O21" i="1"/>
  <c r="O20" i="1"/>
  <c r="L19" i="1"/>
  <c r="O18" i="1"/>
  <c r="O16" i="1"/>
  <c r="L15" i="1"/>
  <c r="O14" i="1"/>
  <c r="O13" i="1"/>
  <c r="O12" i="1"/>
  <c r="L11" i="1"/>
  <c r="O10" i="1"/>
  <c r="O9" i="1"/>
  <c r="O8" i="1"/>
  <c r="L7" i="1"/>
  <c r="R7" i="1" s="1"/>
  <c r="I24" i="1"/>
  <c r="U24" i="1" s="1"/>
  <c r="I23" i="1"/>
  <c r="U23" i="1" s="1"/>
  <c r="I22" i="1"/>
  <c r="U22" i="1" s="1"/>
  <c r="I21" i="1"/>
  <c r="U21" i="1" s="1"/>
  <c r="I20" i="1"/>
  <c r="U20" i="1" s="1"/>
  <c r="I18" i="1"/>
  <c r="U18" i="1" s="1"/>
  <c r="I16" i="1"/>
  <c r="U16" i="1" s="1"/>
  <c r="I14" i="1"/>
  <c r="I13" i="1"/>
  <c r="I12" i="1"/>
  <c r="I9" i="1"/>
  <c r="U9" i="1" s="1"/>
  <c r="I10" i="1"/>
  <c r="I8" i="1"/>
  <c r="U8" i="1" s="1"/>
  <c r="F24" i="1"/>
  <c r="R24" i="1" s="1"/>
  <c r="F19" i="1"/>
  <c r="F15" i="1"/>
  <c r="R15" i="1" s="1"/>
  <c r="F11" i="1"/>
  <c r="U12" i="1" l="1"/>
  <c r="U13" i="1"/>
  <c r="U14" i="1"/>
  <c r="R19" i="1"/>
  <c r="U10" i="1"/>
  <c r="R11" i="1"/>
  <c r="O15" i="1"/>
  <c r="O7" i="1"/>
  <c r="I19" i="1"/>
  <c r="U19" i="1" s="1"/>
  <c r="I15" i="1"/>
  <c r="U15" i="1" s="1"/>
  <c r="O19" i="1"/>
  <c r="O11" i="1"/>
  <c r="I7" i="1"/>
  <c r="I11" i="1"/>
  <c r="U11" i="1" s="1"/>
  <c r="U7" i="1" l="1"/>
</calcChain>
</file>

<file path=xl/sharedStrings.xml><?xml version="1.0" encoding="utf-8"?>
<sst xmlns="http://schemas.openxmlformats.org/spreadsheetml/2006/main" count="57" uniqueCount="39">
  <si>
    <t>이상 사례 종류</t>
  </si>
  <si>
    <t>중대한</t>
  </si>
  <si>
    <t>구분</t>
  </si>
  <si>
    <t>총계</t>
  </si>
  <si>
    <t>총 누적</t>
    <phoneticPr fontId="1" type="noConversion"/>
  </si>
  <si>
    <t>Blood and lymphatic system disorders</t>
    <phoneticPr fontId="1" type="noConversion"/>
  </si>
  <si>
    <t>Anaemia</t>
  </si>
  <si>
    <t>Immune thrombocytopenia</t>
  </si>
  <si>
    <t>Thrombocytopenia</t>
  </si>
  <si>
    <t>Cardiac disorders</t>
  </si>
  <si>
    <t>Atrial fibrillation</t>
  </si>
  <si>
    <t>Myocardial infarction</t>
  </si>
  <si>
    <t>Syncope</t>
  </si>
  <si>
    <t>Gastrointestinal disorders</t>
  </si>
  <si>
    <t>Abdominal pain</t>
  </si>
  <si>
    <t>Diarrhoea</t>
  </si>
  <si>
    <t>Vomiting</t>
  </si>
  <si>
    <t>General disorders</t>
  </si>
  <si>
    <t>Chills</t>
  </si>
  <si>
    <t>Fatigue</t>
  </si>
  <si>
    <t>Injection site pain</t>
  </si>
  <si>
    <t>Lymphadenopathy</t>
  </si>
  <si>
    <t>Hepatic failure</t>
  </si>
  <si>
    <t>Hepatobiliary disorders</t>
  </si>
  <si>
    <t>[건]</t>
    <phoneticPr fontId="1" type="noConversion"/>
  </si>
  <si>
    <t>(%),</t>
    <phoneticPr fontId="1" type="noConversion"/>
  </si>
  <si>
    <t>중대하지 않은</t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</si>
  <si>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>발현조사</t>
    </r>
    <r>
      <rPr>
        <sz val="10"/>
        <color rgb="FF1B1C1D"/>
        <rFont val="Arial"/>
        <family val="3"/>
      </rPr>
      <t xml:space="preserve"> </t>
    </r>
    <r>
      <rPr>
        <sz val="10"/>
        <color rgb="FF1B1C1D"/>
        <rFont val="맑은 고딕"/>
        <family val="3"/>
        <charset val="129"/>
      </rPr>
      <t>대상자수</t>
    </r>
    <phoneticPr fontId="1" type="noConversion"/>
  </si>
  <si>
    <r>
      <rPr>
        <sz val="10"/>
        <color rgb="FF1B1C1D"/>
        <rFont val="맑은 고딕"/>
        <family val="3"/>
        <charset val="129"/>
      </rPr>
      <t xml:space="preserve">약물 이상 </t>
    </r>
    <r>
      <rPr>
        <sz val="10"/>
        <color rgb="FF1B1C1D"/>
        <rFont val="돋움"/>
        <family val="3"/>
        <charset val="129"/>
      </rPr>
      <t xml:space="preserve">반응, 발현조사 대상자수 </t>
    </r>
    <phoneticPr fontId="1" type="noConversion"/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</si>
  <si>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 xml:space="preserve">발현조사 대상자수 </t>
    </r>
    <phoneticPr fontId="1" type="noConversion"/>
  </si>
  <si>
    <r>
      <rPr>
        <sz val="10"/>
        <color rgb="FF1B1C1D"/>
        <rFont val="맑은 고딕"/>
        <family val="3"/>
        <charset val="129"/>
      </rPr>
      <t xml:space="preserve">약물 이상 </t>
    </r>
    <r>
      <rPr>
        <sz val="10"/>
        <color rgb="FF1B1C1D"/>
        <rFont val="돋움"/>
        <family val="3"/>
        <charset val="129"/>
      </rPr>
      <t>반응, 발현조사 대상자수</t>
    </r>
    <phoneticPr fontId="1" type="noConversion"/>
  </si>
  <si>
    <r>
      <rPr>
        <sz val="10"/>
        <color rgb="FF1B1C1D"/>
        <rFont val="맑은 고딕"/>
        <family val="3"/>
        <charset val="129"/>
      </rPr>
      <t>이상사례</t>
    </r>
    <r>
      <rPr>
        <sz val="10"/>
        <color rgb="FF1B1C1D"/>
        <rFont val="Arial"/>
        <family val="2"/>
      </rPr>
      <t xml:space="preserve"> </t>
    </r>
    <r>
      <rPr>
        <sz val="10"/>
        <color rgb="FF1B1C1D"/>
        <rFont val="맑은 고딕"/>
        <family val="3"/>
        <charset val="129"/>
      </rPr>
      <t>발현조사 대상자수</t>
    </r>
    <phoneticPr fontId="1" type="noConversion"/>
  </si>
  <si>
    <t>[별첨 3] 시판 후 정보에서 보고 기간 동안의 요약 도표</t>
    <phoneticPr fontId="1" type="noConversion"/>
  </si>
  <si>
    <t>(%),</t>
  </si>
  <si>
    <t>수</t>
    <phoneticPr fontId="1" type="noConversion"/>
  </si>
  <si>
    <t xml:space="preserve">시판후 비중재 연구와 다른 요청된 출처
</t>
    <phoneticPr fontId="1" type="noConversion"/>
  </si>
  <si>
    <r>
      <rPr>
        <sz val="10"/>
        <color rgb="FF1B1C1D"/>
        <rFont val="돋움"/>
        <family val="3"/>
        <charset val="129"/>
      </rPr>
      <t>중대한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이상사례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발현</t>
    </r>
    <r>
      <rPr>
        <sz val="10"/>
        <color rgb="FF1B1C1D"/>
        <rFont val="Arial"/>
        <family val="3"/>
        <charset val="129"/>
      </rPr>
      <t xml:space="preserve"> </t>
    </r>
    <r>
      <rPr>
        <sz val="10"/>
        <color rgb="FF1B1C1D"/>
        <rFont val="돋움"/>
        <family val="3"/>
        <charset val="129"/>
      </rPr>
      <t>대상자수</t>
    </r>
    <phoneticPr fontId="1" type="noConversion"/>
  </si>
  <si>
    <t>규제기관과 문헌에서의 보고를 포함한 자발보고</t>
    <phoneticPr fontId="1" type="noConversion"/>
  </si>
  <si>
    <t>MedDRA version 28.1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</si>
</sst>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1B1C1D"/>
      <name val="Arial"/>
      <family val="2"/>
    </font>
    <font>
      <b/>
      <sz val="10"/>
      <color rgb="FF1B1C1D"/>
      <name val="맑은 고딕"/>
      <family val="3"/>
      <charset val="129"/>
    </font>
    <font>
      <sz val="10"/>
      <color rgb="FF1B1C1D"/>
      <name val="Arial"/>
      <family val="2"/>
    </font>
    <font>
      <sz val="10"/>
      <color rgb="FF1B1C1D"/>
      <name val="맑은 고딕"/>
      <family val="3"/>
      <charset val="129"/>
    </font>
    <font>
      <sz val="10"/>
      <color rgb="FF1B1C1D"/>
      <name val="Arial"/>
      <family val="3"/>
      <charset val="129"/>
    </font>
    <font>
      <sz val="10"/>
      <color rgb="FF1B1C1D"/>
      <name val="Arial"/>
      <family val="3"/>
    </font>
    <font>
      <sz val="10"/>
      <color rgb="FF1B1C1D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9" fontId="8" fillId="0" borderId="1" xfId="1" applyFont="1" applyBorder="1" applyAlignment="1">
      <alignment vertical="center" wrapText="1" readingOrder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6" fillId="0" borderId="1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6" fillId="0" borderId="3" xfId="0" applyFont="1" applyBorder="1" applyAlignment="1">
      <alignment vertical="center" wrapText="1" readingOrder="1"/>
    </xf>
    <xf numFmtId="9" fontId="8" fillId="0" borderId="6" xfId="1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readingOrder="1"/>
    </xf>
    <xf numFmtId="0" fontId="11" fillId="0" borderId="4" xfId="0" applyFont="1" applyBorder="1">
      <alignment vertical="center"/>
    </xf>
    <xf numFmtId="0" fontId="13" fillId="0" borderId="4" xfId="0" applyFont="1" applyBorder="1">
      <alignment vertical="center"/>
    </xf>
    <xf numFmtId="9" fontId="8" fillId="0" borderId="3" xfId="0" applyNumberFormat="1" applyFont="1" applyBorder="1" applyAlignment="1">
      <alignment vertical="center" wrapText="1" readingOrder="1"/>
    </xf>
    <xf numFmtId="176" fontId="10" fillId="0" borderId="1" xfId="0" applyNumberFormat="1" applyFont="1" applyBorder="1" applyAlignment="1">
      <alignment vertical="center" wrapText="1" readingOrder="1"/>
    </xf>
    <xf numFmtId="176" fontId="8" fillId="0" borderId="1" xfId="1" applyNumberFormat="1" applyFont="1" applyBorder="1" applyAlignment="1">
      <alignment vertical="center" wrapText="1" readingOrder="1"/>
    </xf>
    <xf numFmtId="176" fontId="8" fillId="0" borderId="1" xfId="0" applyNumberFormat="1" applyFont="1" applyBorder="1" applyAlignment="1">
      <alignment vertical="center" wrapText="1" readingOrder="1"/>
    </xf>
    <xf numFmtId="9" fontId="6" fillId="0" borderId="1" xfId="1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0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4FD-5335-4CDF-86EE-67DA86DE8A3D}">
  <dimension ref="B1:X46"/>
  <sheetViews>
    <sheetView tabSelected="1" topLeftCell="K2" workbookViewId="0">
      <selection activeCell="D3" sqref="D3:U3"/>
    </sheetView>
  </sheetViews>
  <sheetFormatPr defaultRowHeight="17.399999999999999" x14ac:dyDescent="0.4"/>
  <cols>
    <col min="2" max="2" width="10.796875" customWidth="1"/>
    <col min="3" max="3" width="28.296875" customWidth="1"/>
    <col min="4" max="8" width="6.8984375" customWidth="1"/>
    <col min="9" max="9" width="7.59765625" customWidth="1"/>
    <col min="24" max="24" width="14.5" customWidth="1"/>
  </cols>
  <sheetData>
    <row r="1" spans="2:24" ht="21" x14ac:dyDescent="0.4">
      <c r="C1" s="1" t="s">
        <v>32</v>
      </c>
      <c r="D1" s="1"/>
      <c r="E1" s="1"/>
      <c r="F1" s="1"/>
      <c r="G1" s="1"/>
      <c r="H1" s="1"/>
      <c r="I1" s="1"/>
    </row>
    <row r="2" spans="2:24" ht="50.4" customHeight="1" x14ac:dyDescent="0.4">
      <c r="C2" s="1"/>
      <c r="D2" s="1"/>
      <c r="E2" s="1"/>
      <c r="F2" s="1"/>
      <c r="G2" s="1"/>
      <c r="H2" s="1"/>
      <c r="I2" s="1"/>
    </row>
    <row r="3" spans="2:24" ht="42.6" customHeight="1" x14ac:dyDescent="0.4">
      <c r="B3" s="34" t="s">
        <v>0</v>
      </c>
      <c r="C3" s="34"/>
      <c r="D3" s="35" t="s">
        <v>37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6" t="s">
        <v>35</v>
      </c>
      <c r="W3" s="36"/>
      <c r="X3" s="36"/>
    </row>
    <row r="4" spans="2:24" ht="28.2" customHeight="1" x14ac:dyDescent="0.4">
      <c r="B4" s="34"/>
      <c r="C4" s="34"/>
      <c r="D4" s="40" t="s">
        <v>1</v>
      </c>
      <c r="E4" s="40"/>
      <c r="F4" s="40"/>
      <c r="G4" s="40"/>
      <c r="H4" s="40"/>
      <c r="I4" s="40"/>
      <c r="J4" s="40" t="s">
        <v>26</v>
      </c>
      <c r="K4" s="40"/>
      <c r="L4" s="40"/>
      <c r="M4" s="40"/>
      <c r="N4" s="40"/>
      <c r="O4" s="40"/>
      <c r="P4" s="41" t="s">
        <v>4</v>
      </c>
      <c r="Q4" s="41"/>
      <c r="R4" s="41"/>
      <c r="S4" s="41"/>
      <c r="T4" s="41"/>
      <c r="U4" s="41"/>
      <c r="V4" s="37" t="s">
        <v>36</v>
      </c>
      <c r="W4" s="38"/>
      <c r="X4" s="39"/>
    </row>
    <row r="5" spans="2:24" ht="105" customHeight="1" x14ac:dyDescent="0.4">
      <c r="B5" s="26" t="s">
        <v>2</v>
      </c>
      <c r="C5" s="27"/>
      <c r="D5" s="28" t="s">
        <v>27</v>
      </c>
      <c r="E5" s="29"/>
      <c r="F5" s="30"/>
      <c r="G5" s="28" t="s">
        <v>28</v>
      </c>
      <c r="H5" s="29"/>
      <c r="I5" s="30"/>
      <c r="J5" s="28" t="s">
        <v>31</v>
      </c>
      <c r="K5" s="29"/>
      <c r="L5" s="30"/>
      <c r="M5" s="28" t="s">
        <v>28</v>
      </c>
      <c r="N5" s="29"/>
      <c r="O5" s="30"/>
      <c r="P5" s="28" t="s">
        <v>29</v>
      </c>
      <c r="Q5" s="29"/>
      <c r="R5" s="30"/>
      <c r="S5" s="28" t="s">
        <v>30</v>
      </c>
      <c r="T5" s="29"/>
      <c r="U5" s="30"/>
      <c r="V5" s="31"/>
      <c r="W5" s="32"/>
      <c r="X5" s="33"/>
    </row>
    <row r="6" spans="2:24" ht="19.2" customHeight="1" x14ac:dyDescent="0.4">
      <c r="B6" s="2"/>
      <c r="C6" s="3"/>
      <c r="D6" s="4" t="s">
        <v>34</v>
      </c>
      <c r="E6" s="4" t="s">
        <v>33</v>
      </c>
      <c r="F6" s="4" t="s">
        <v>24</v>
      </c>
      <c r="G6" s="4" t="s">
        <v>25</v>
      </c>
      <c r="H6" s="4" t="s">
        <v>33</v>
      </c>
      <c r="I6" s="4" t="s">
        <v>24</v>
      </c>
      <c r="J6" s="4" t="s">
        <v>25</v>
      </c>
      <c r="K6" s="4" t="s">
        <v>33</v>
      </c>
      <c r="L6" s="4" t="s">
        <v>24</v>
      </c>
      <c r="M6" s="4" t="s">
        <v>25</v>
      </c>
      <c r="N6" s="4" t="s">
        <v>33</v>
      </c>
      <c r="O6" s="4" t="s">
        <v>24</v>
      </c>
      <c r="P6" s="22" t="s">
        <v>34</v>
      </c>
      <c r="Q6" s="4" t="s">
        <v>25</v>
      </c>
      <c r="R6" s="4" t="s">
        <v>24</v>
      </c>
      <c r="S6" s="24" t="s">
        <v>34</v>
      </c>
      <c r="T6" s="4" t="s">
        <v>25</v>
      </c>
      <c r="U6" s="4" t="s">
        <v>24</v>
      </c>
      <c r="V6" s="4" t="s">
        <v>34</v>
      </c>
      <c r="W6" s="4" t="s">
        <v>25</v>
      </c>
      <c r="X6" s="17" t="s">
        <v>24</v>
      </c>
    </row>
    <row r="7" spans="2:24" x14ac:dyDescent="0.4">
      <c r="B7" s="18" t="s">
        <v>5</v>
      </c>
      <c r="C7" s="6"/>
      <c r="D7" s="4">
        <f>SUM(D8:D10)</f>
        <v>14</v>
      </c>
      <c r="E7" s="7">
        <v>0.35</v>
      </c>
      <c r="F7" s="4">
        <f>SUM(F8:F10)</f>
        <v>22</v>
      </c>
      <c r="G7" s="4">
        <f>SUM(G8:G10)</f>
        <v>11</v>
      </c>
      <c r="H7" s="7">
        <v>0.36666666666666697</v>
      </c>
      <c r="I7" s="4">
        <f>SUM(I8:I10)</f>
        <v>19</v>
      </c>
      <c r="J7" s="4">
        <f>SUM(J8:J10)</f>
        <v>14</v>
      </c>
      <c r="K7" s="7">
        <v>0.35</v>
      </c>
      <c r="L7" s="4">
        <f>SUM(L8:L10)</f>
        <v>14</v>
      </c>
      <c r="M7" s="4">
        <f>SUM(M8:M10)</f>
        <v>11</v>
      </c>
      <c r="N7" s="7">
        <v>0.36666666666666664</v>
      </c>
      <c r="O7" s="4">
        <f>SUM(O8:O10)</f>
        <v>11</v>
      </c>
      <c r="P7" s="23">
        <f>SUM(D7,J7)</f>
        <v>28</v>
      </c>
      <c r="Q7" s="7">
        <f t="shared" ref="Q7:Q25" si="0">P7/P26</f>
        <v>0.35</v>
      </c>
      <c r="R7" s="23">
        <f>SUM(F7,L7)</f>
        <v>36</v>
      </c>
      <c r="S7" s="23">
        <f>SUM(G7,M7)</f>
        <v>22</v>
      </c>
      <c r="T7" s="7">
        <f t="shared" ref="T7:T25" si="1">S7/S26</f>
        <v>0.36666666666666664</v>
      </c>
      <c r="U7" s="23">
        <f>SUM(I7,O7)</f>
        <v>30</v>
      </c>
      <c r="V7" s="4">
        <v>0</v>
      </c>
      <c r="W7" s="25">
        <v>0</v>
      </c>
      <c r="X7" s="5">
        <v>0</v>
      </c>
    </row>
    <row r="8" spans="2:24" x14ac:dyDescent="0.4">
      <c r="B8" s="19"/>
      <c r="C8" s="8" t="s">
        <v>6</v>
      </c>
      <c r="D8" s="4">
        <v>3</v>
      </c>
      <c r="E8" s="7">
        <v>7.4999999999999997E-2</v>
      </c>
      <c r="F8" s="4">
        <v>5</v>
      </c>
      <c r="G8" s="4">
        <f>D8-1</f>
        <v>2</v>
      </c>
      <c r="H8" s="7">
        <v>6.6666666666666666E-2</v>
      </c>
      <c r="I8" s="4">
        <f>F8-1</f>
        <v>4</v>
      </c>
      <c r="J8" s="4">
        <v>3</v>
      </c>
      <c r="K8" s="7">
        <v>7.4999999999999997E-2</v>
      </c>
      <c r="L8" s="4">
        <v>3</v>
      </c>
      <c r="M8" s="4">
        <f>J8-1</f>
        <v>2</v>
      </c>
      <c r="N8" s="7">
        <v>6.6666666666666666E-2</v>
      </c>
      <c r="O8" s="4">
        <f>L8-1</f>
        <v>2</v>
      </c>
      <c r="P8" s="23">
        <f>SUM(D8,J8)</f>
        <v>6</v>
      </c>
      <c r="Q8" s="7">
        <f t="shared" si="0"/>
        <v>7.4999999999999997E-2</v>
      </c>
      <c r="R8" s="23">
        <f>SUM(F8,L8)</f>
        <v>8</v>
      </c>
      <c r="S8" s="23">
        <f>SUM(G8,M8)</f>
        <v>4</v>
      </c>
      <c r="T8" s="7">
        <f t="shared" si="1"/>
        <v>6.6666666666666666E-2</v>
      </c>
      <c r="U8" s="23">
        <f>SUM(I8,O8)</f>
        <v>6</v>
      </c>
      <c r="V8" s="4">
        <v>0</v>
      </c>
      <c r="W8" s="25">
        <v>0</v>
      </c>
      <c r="X8" s="5">
        <v>0</v>
      </c>
    </row>
    <row r="9" spans="2:24" x14ac:dyDescent="0.4">
      <c r="B9" s="19"/>
      <c r="C9" s="9" t="s">
        <v>7</v>
      </c>
      <c r="D9" s="4">
        <v>5</v>
      </c>
      <c r="E9" s="7">
        <v>0.125</v>
      </c>
      <c r="F9" s="4">
        <v>8</v>
      </c>
      <c r="G9" s="4">
        <f t="shared" ref="G9:I10" si="2">D9-1</f>
        <v>4</v>
      </c>
      <c r="H9" s="7">
        <v>0.13333333333333333</v>
      </c>
      <c r="I9" s="4">
        <f t="shared" si="2"/>
        <v>7</v>
      </c>
      <c r="J9" s="4">
        <v>5</v>
      </c>
      <c r="K9" s="7">
        <v>0.125</v>
      </c>
      <c r="L9" s="4">
        <v>5</v>
      </c>
      <c r="M9" s="4">
        <f t="shared" ref="M9:O10" si="3">J9-1</f>
        <v>4</v>
      </c>
      <c r="N9" s="7">
        <v>0.13333333333333333</v>
      </c>
      <c r="O9" s="4">
        <f t="shared" si="3"/>
        <v>4</v>
      </c>
      <c r="P9" s="23">
        <f t="shared" ref="P9:R25" si="4">SUM(D9,J9)</f>
        <v>10</v>
      </c>
      <c r="Q9" s="7">
        <f t="shared" si="0"/>
        <v>0.125</v>
      </c>
      <c r="R9" s="23">
        <f t="shared" si="4"/>
        <v>13</v>
      </c>
      <c r="S9" s="23">
        <f t="shared" ref="S9:S25" si="5">SUM(G9,M9)</f>
        <v>8</v>
      </c>
      <c r="T9" s="7">
        <f t="shared" si="1"/>
        <v>0.13333333333333333</v>
      </c>
      <c r="U9" s="23">
        <f t="shared" ref="U9:U25" si="6">SUM(I9,O9)</f>
        <v>11</v>
      </c>
      <c r="V9" s="4">
        <v>0</v>
      </c>
      <c r="W9" s="25">
        <v>0</v>
      </c>
      <c r="X9" s="5">
        <v>0</v>
      </c>
    </row>
    <row r="10" spans="2:24" x14ac:dyDescent="0.4">
      <c r="B10" s="19"/>
      <c r="C10" s="9" t="s">
        <v>8</v>
      </c>
      <c r="D10" s="4">
        <v>6</v>
      </c>
      <c r="E10" s="7">
        <v>0.15</v>
      </c>
      <c r="F10" s="4">
        <v>9</v>
      </c>
      <c r="G10" s="4">
        <f t="shared" si="2"/>
        <v>5</v>
      </c>
      <c r="H10" s="7">
        <v>0.16666666666666666</v>
      </c>
      <c r="I10" s="4">
        <f t="shared" si="2"/>
        <v>8</v>
      </c>
      <c r="J10" s="4">
        <v>6</v>
      </c>
      <c r="K10" s="7">
        <v>0.15</v>
      </c>
      <c r="L10" s="4">
        <v>6</v>
      </c>
      <c r="M10" s="4">
        <f t="shared" si="3"/>
        <v>5</v>
      </c>
      <c r="N10" s="7">
        <v>0.16666666666666666</v>
      </c>
      <c r="O10" s="4">
        <f t="shared" si="3"/>
        <v>5</v>
      </c>
      <c r="P10" s="23">
        <f t="shared" si="4"/>
        <v>12</v>
      </c>
      <c r="Q10" s="7">
        <f t="shared" si="0"/>
        <v>0.15</v>
      </c>
      <c r="R10" s="23">
        <f t="shared" si="4"/>
        <v>15</v>
      </c>
      <c r="S10" s="23">
        <f t="shared" si="5"/>
        <v>10</v>
      </c>
      <c r="T10" s="7">
        <f t="shared" si="1"/>
        <v>0.16666666666666666</v>
      </c>
      <c r="U10" s="23">
        <f t="shared" si="6"/>
        <v>13</v>
      </c>
      <c r="V10" s="4">
        <v>0</v>
      </c>
      <c r="W10" s="25">
        <v>0</v>
      </c>
      <c r="X10" s="5">
        <v>0</v>
      </c>
    </row>
    <row r="11" spans="2:24" x14ac:dyDescent="0.4">
      <c r="B11" s="20" t="s">
        <v>9</v>
      </c>
      <c r="C11" s="3"/>
      <c r="D11" s="4">
        <f>SUM(D12:D14)</f>
        <v>24</v>
      </c>
      <c r="E11" s="7">
        <v>0.6</v>
      </c>
      <c r="F11" s="4">
        <f>SUM(F12:F14)</f>
        <v>28</v>
      </c>
      <c r="G11" s="4">
        <f>SUM(G12:G14)</f>
        <v>21</v>
      </c>
      <c r="H11" s="7">
        <v>0.7</v>
      </c>
      <c r="I11" s="4">
        <f>SUM(I12:I14)</f>
        <v>25</v>
      </c>
      <c r="J11" s="4">
        <f>SUM(J12:J14)</f>
        <v>24</v>
      </c>
      <c r="K11" s="7">
        <v>0.6</v>
      </c>
      <c r="L11" s="4">
        <f>SUM(L12:L14)</f>
        <v>24</v>
      </c>
      <c r="M11" s="4">
        <f>SUM(M12:M14)</f>
        <v>21</v>
      </c>
      <c r="N11" s="7">
        <v>0.7</v>
      </c>
      <c r="O11" s="4">
        <f>SUM(O12:O14)</f>
        <v>21</v>
      </c>
      <c r="P11" s="23">
        <f t="shared" si="4"/>
        <v>48</v>
      </c>
      <c r="Q11" s="7">
        <f t="shared" si="0"/>
        <v>0.6</v>
      </c>
      <c r="R11" s="23">
        <f t="shared" si="4"/>
        <v>52</v>
      </c>
      <c r="S11" s="23">
        <f t="shared" si="5"/>
        <v>42</v>
      </c>
      <c r="T11" s="7">
        <f t="shared" si="1"/>
        <v>0.7</v>
      </c>
      <c r="U11" s="23">
        <f t="shared" si="6"/>
        <v>46</v>
      </c>
      <c r="V11" s="4">
        <v>0</v>
      </c>
      <c r="W11" s="25">
        <v>0</v>
      </c>
      <c r="X11" s="5">
        <v>0</v>
      </c>
    </row>
    <row r="12" spans="2:24" x14ac:dyDescent="0.4">
      <c r="B12" s="2"/>
      <c r="C12" s="9" t="s">
        <v>10</v>
      </c>
      <c r="D12" s="4">
        <v>7</v>
      </c>
      <c r="E12" s="7">
        <v>0.17499999999999999</v>
      </c>
      <c r="F12" s="4">
        <v>11</v>
      </c>
      <c r="G12" s="4">
        <f>D12-1</f>
        <v>6</v>
      </c>
      <c r="H12" s="7">
        <v>0.2</v>
      </c>
      <c r="I12" s="4">
        <f>F12-1</f>
        <v>10</v>
      </c>
      <c r="J12" s="4">
        <v>7</v>
      </c>
      <c r="K12" s="7">
        <v>0.17499999999999999</v>
      </c>
      <c r="L12" s="4">
        <v>7</v>
      </c>
      <c r="M12" s="4">
        <f>J12-1</f>
        <v>6</v>
      </c>
      <c r="N12" s="7">
        <v>0.2</v>
      </c>
      <c r="O12" s="4">
        <f>L12-1</f>
        <v>6</v>
      </c>
      <c r="P12" s="23">
        <f t="shared" si="4"/>
        <v>14</v>
      </c>
      <c r="Q12" s="7">
        <f t="shared" si="0"/>
        <v>0.17499999999999999</v>
      </c>
      <c r="R12" s="23">
        <f t="shared" si="4"/>
        <v>18</v>
      </c>
      <c r="S12" s="23">
        <f t="shared" si="5"/>
        <v>12</v>
      </c>
      <c r="T12" s="7">
        <f t="shared" si="1"/>
        <v>0.2</v>
      </c>
      <c r="U12" s="23">
        <f t="shared" si="6"/>
        <v>16</v>
      </c>
      <c r="V12" s="4">
        <v>0</v>
      </c>
      <c r="W12" s="25">
        <v>0</v>
      </c>
      <c r="X12" s="5">
        <v>0</v>
      </c>
    </row>
    <row r="13" spans="2:24" x14ac:dyDescent="0.4">
      <c r="B13" s="2"/>
      <c r="C13" s="9" t="s">
        <v>11</v>
      </c>
      <c r="D13" s="4">
        <v>8</v>
      </c>
      <c r="E13" s="7">
        <v>0.2</v>
      </c>
      <c r="F13" s="4">
        <v>8</v>
      </c>
      <c r="G13" s="4">
        <f>D13-1</f>
        <v>7</v>
      </c>
      <c r="H13" s="7">
        <v>0.23333333333333334</v>
      </c>
      <c r="I13" s="4">
        <f>F13-1</f>
        <v>7</v>
      </c>
      <c r="J13" s="4">
        <v>8</v>
      </c>
      <c r="K13" s="7">
        <v>0.2</v>
      </c>
      <c r="L13" s="4">
        <v>8</v>
      </c>
      <c r="M13" s="4">
        <f>J13-1</f>
        <v>7</v>
      </c>
      <c r="N13" s="7">
        <v>0.23333333333333334</v>
      </c>
      <c r="O13" s="4">
        <f>L13-1</f>
        <v>7</v>
      </c>
      <c r="P13" s="23">
        <f t="shared" si="4"/>
        <v>16</v>
      </c>
      <c r="Q13" s="7">
        <f t="shared" si="0"/>
        <v>0.2</v>
      </c>
      <c r="R13" s="23">
        <f t="shared" si="4"/>
        <v>16</v>
      </c>
      <c r="S13" s="23">
        <f t="shared" si="5"/>
        <v>14</v>
      </c>
      <c r="T13" s="7">
        <f t="shared" si="1"/>
        <v>0.23333333333333334</v>
      </c>
      <c r="U13" s="23">
        <f t="shared" si="6"/>
        <v>14</v>
      </c>
      <c r="V13" s="4">
        <v>0</v>
      </c>
      <c r="W13" s="25">
        <v>0</v>
      </c>
      <c r="X13" s="5">
        <v>0</v>
      </c>
    </row>
    <row r="14" spans="2:24" x14ac:dyDescent="0.4">
      <c r="B14" s="2"/>
      <c r="C14" s="9" t="s">
        <v>12</v>
      </c>
      <c r="D14" s="4">
        <v>9</v>
      </c>
      <c r="E14" s="7">
        <v>0.22500000000000001</v>
      </c>
      <c r="F14" s="4">
        <v>9</v>
      </c>
      <c r="G14" s="4">
        <f>D14-1</f>
        <v>8</v>
      </c>
      <c r="H14" s="7">
        <v>0.26666666666666666</v>
      </c>
      <c r="I14" s="4">
        <f>F14-1</f>
        <v>8</v>
      </c>
      <c r="J14" s="4">
        <v>9</v>
      </c>
      <c r="K14" s="7">
        <v>0.22500000000000001</v>
      </c>
      <c r="L14" s="4">
        <v>9</v>
      </c>
      <c r="M14" s="4">
        <f>J14-1</f>
        <v>8</v>
      </c>
      <c r="N14" s="7">
        <v>0.26666666666666666</v>
      </c>
      <c r="O14" s="4">
        <f>L14-1</f>
        <v>8</v>
      </c>
      <c r="P14" s="23">
        <f t="shared" si="4"/>
        <v>18</v>
      </c>
      <c r="Q14" s="7">
        <f t="shared" si="0"/>
        <v>0.22500000000000001</v>
      </c>
      <c r="R14" s="23">
        <f t="shared" si="4"/>
        <v>18</v>
      </c>
      <c r="S14" s="23">
        <f t="shared" si="5"/>
        <v>16</v>
      </c>
      <c r="T14" s="7">
        <f t="shared" si="1"/>
        <v>0.26666666666666666</v>
      </c>
      <c r="U14" s="23">
        <f t="shared" si="6"/>
        <v>16</v>
      </c>
      <c r="V14" s="4">
        <v>0</v>
      </c>
      <c r="W14" s="25">
        <v>0</v>
      </c>
      <c r="X14" s="5">
        <v>0</v>
      </c>
    </row>
    <row r="15" spans="2:24" ht="49.2" customHeight="1" x14ac:dyDescent="0.4">
      <c r="B15" s="20" t="s">
        <v>13</v>
      </c>
      <c r="C15" s="10"/>
      <c r="D15" s="4">
        <f>SUM(D16:D18)</f>
        <v>8</v>
      </c>
      <c r="E15" s="7">
        <v>0.2</v>
      </c>
      <c r="F15" s="4">
        <f>SUM(F16:F18)</f>
        <v>9</v>
      </c>
      <c r="G15" s="4">
        <f>SUM(G16:G18)</f>
        <v>6</v>
      </c>
      <c r="H15" s="7">
        <v>0.2</v>
      </c>
      <c r="I15" s="4">
        <f>SUM(I16:I18)</f>
        <v>7</v>
      </c>
      <c r="J15" s="4">
        <f>SUM(J16:J18)</f>
        <v>8</v>
      </c>
      <c r="K15" s="7">
        <v>0.2</v>
      </c>
      <c r="L15" s="4">
        <f>SUM(L16:L18)</f>
        <v>8</v>
      </c>
      <c r="M15" s="4">
        <f>SUM(M16:M18)</f>
        <v>6</v>
      </c>
      <c r="N15" s="7">
        <v>0.2</v>
      </c>
      <c r="O15" s="4">
        <f>SUM(O16:O18)</f>
        <v>6</v>
      </c>
      <c r="P15" s="23">
        <f t="shared" si="4"/>
        <v>16</v>
      </c>
      <c r="Q15" s="7">
        <f t="shared" si="0"/>
        <v>0.2</v>
      </c>
      <c r="R15" s="23">
        <f t="shared" si="4"/>
        <v>17</v>
      </c>
      <c r="S15" s="23">
        <f t="shared" si="5"/>
        <v>12</v>
      </c>
      <c r="T15" s="7">
        <f t="shared" si="1"/>
        <v>0.2</v>
      </c>
      <c r="U15" s="23">
        <f t="shared" si="6"/>
        <v>13</v>
      </c>
      <c r="V15" s="4">
        <v>0</v>
      </c>
      <c r="W15" s="25">
        <v>0</v>
      </c>
      <c r="X15" s="5">
        <v>0</v>
      </c>
    </row>
    <row r="16" spans="2:24" x14ac:dyDescent="0.4">
      <c r="B16" s="19"/>
      <c r="C16" s="9" t="s">
        <v>14</v>
      </c>
      <c r="D16" s="11">
        <v>1</v>
      </c>
      <c r="E16" s="7">
        <v>2.5000000000000001E-2</v>
      </c>
      <c r="F16" s="11">
        <v>2</v>
      </c>
      <c r="G16" s="4">
        <f>D16-1</f>
        <v>0</v>
      </c>
      <c r="H16" s="7">
        <v>0</v>
      </c>
      <c r="I16" s="4">
        <f>F16-1</f>
        <v>1</v>
      </c>
      <c r="J16" s="11">
        <v>1</v>
      </c>
      <c r="K16" s="7">
        <v>2.5000000000000001E-2</v>
      </c>
      <c r="L16" s="11">
        <v>1</v>
      </c>
      <c r="M16" s="4">
        <f>J16-1</f>
        <v>0</v>
      </c>
      <c r="N16" s="7">
        <v>0</v>
      </c>
      <c r="O16" s="4">
        <f>L16-1</f>
        <v>0</v>
      </c>
      <c r="P16" s="23">
        <f t="shared" si="4"/>
        <v>2</v>
      </c>
      <c r="Q16" s="7">
        <f t="shared" si="0"/>
        <v>2.5000000000000001E-2</v>
      </c>
      <c r="R16" s="23">
        <f t="shared" si="4"/>
        <v>3</v>
      </c>
      <c r="S16" s="23">
        <f t="shared" si="5"/>
        <v>0</v>
      </c>
      <c r="T16" s="7">
        <f t="shared" si="1"/>
        <v>0</v>
      </c>
      <c r="U16" s="23">
        <f t="shared" si="6"/>
        <v>1</v>
      </c>
      <c r="V16" s="4">
        <v>0</v>
      </c>
      <c r="W16" s="25">
        <v>0</v>
      </c>
      <c r="X16" s="5">
        <v>0</v>
      </c>
    </row>
    <row r="17" spans="2:24" x14ac:dyDescent="0.4">
      <c r="B17" s="19"/>
      <c r="C17" s="9" t="s">
        <v>15</v>
      </c>
      <c r="D17" s="11">
        <v>0</v>
      </c>
      <c r="E17" s="7">
        <v>0</v>
      </c>
      <c r="F17" s="11">
        <v>0</v>
      </c>
      <c r="G17" s="4">
        <v>0</v>
      </c>
      <c r="H17" s="7">
        <v>0</v>
      </c>
      <c r="I17" s="4">
        <v>0</v>
      </c>
      <c r="J17" s="11">
        <v>0</v>
      </c>
      <c r="K17" s="7">
        <v>0</v>
      </c>
      <c r="L17" s="11">
        <v>0</v>
      </c>
      <c r="M17" s="4">
        <v>0</v>
      </c>
      <c r="N17" s="7">
        <v>0</v>
      </c>
      <c r="O17" s="4">
        <v>0</v>
      </c>
      <c r="P17" s="23">
        <f t="shared" si="4"/>
        <v>0</v>
      </c>
      <c r="Q17" s="7">
        <f t="shared" si="0"/>
        <v>0</v>
      </c>
      <c r="R17" s="23">
        <f t="shared" si="4"/>
        <v>0</v>
      </c>
      <c r="S17" s="23">
        <f t="shared" si="5"/>
        <v>0</v>
      </c>
      <c r="T17" s="7">
        <f t="shared" si="1"/>
        <v>0</v>
      </c>
      <c r="U17" s="23">
        <f t="shared" si="6"/>
        <v>0</v>
      </c>
      <c r="V17" s="4">
        <v>0</v>
      </c>
      <c r="W17" s="25">
        <v>0</v>
      </c>
      <c r="X17" s="5">
        <v>0</v>
      </c>
    </row>
    <row r="18" spans="2:24" x14ac:dyDescent="0.4">
      <c r="B18" s="19"/>
      <c r="C18" s="9" t="s">
        <v>16</v>
      </c>
      <c r="D18" s="11">
        <v>7</v>
      </c>
      <c r="E18" s="7">
        <v>0.17499999999999999</v>
      </c>
      <c r="F18" s="11">
        <v>7</v>
      </c>
      <c r="G18" s="4">
        <f>D18-1</f>
        <v>6</v>
      </c>
      <c r="H18" s="7">
        <v>0.2</v>
      </c>
      <c r="I18" s="4">
        <f>F18-1</f>
        <v>6</v>
      </c>
      <c r="J18" s="11">
        <v>7</v>
      </c>
      <c r="K18" s="7">
        <v>0.17499999999999999</v>
      </c>
      <c r="L18" s="11">
        <v>7</v>
      </c>
      <c r="M18" s="4">
        <f>J18-1</f>
        <v>6</v>
      </c>
      <c r="N18" s="7">
        <v>0.2</v>
      </c>
      <c r="O18" s="4">
        <f>L18-1</f>
        <v>6</v>
      </c>
      <c r="P18" s="23">
        <f t="shared" si="4"/>
        <v>14</v>
      </c>
      <c r="Q18" s="7">
        <f t="shared" si="0"/>
        <v>0.17499999999999999</v>
      </c>
      <c r="R18" s="23">
        <f t="shared" si="4"/>
        <v>14</v>
      </c>
      <c r="S18" s="23">
        <f t="shared" si="5"/>
        <v>12</v>
      </c>
      <c r="T18" s="7">
        <f t="shared" si="1"/>
        <v>0.2</v>
      </c>
      <c r="U18" s="23">
        <f t="shared" si="6"/>
        <v>12</v>
      </c>
      <c r="V18" s="4">
        <v>0</v>
      </c>
      <c r="W18" s="25">
        <v>0</v>
      </c>
      <c r="X18" s="5">
        <v>0</v>
      </c>
    </row>
    <row r="19" spans="2:24" x14ac:dyDescent="0.4">
      <c r="B19" s="20" t="s">
        <v>17</v>
      </c>
      <c r="C19" s="9"/>
      <c r="D19" s="4">
        <f>SUM(D20:D23)</f>
        <v>24</v>
      </c>
      <c r="E19" s="7">
        <v>0.6</v>
      </c>
      <c r="F19" s="4">
        <f>SUM(F20:F23)</f>
        <v>24</v>
      </c>
      <c r="G19" s="4">
        <f>SUM(G20:G23)</f>
        <v>20</v>
      </c>
      <c r="H19" s="7">
        <v>0.66666666666666663</v>
      </c>
      <c r="I19" s="4">
        <f>SUM(I20:I23)</f>
        <v>20</v>
      </c>
      <c r="J19" s="4">
        <f>SUM(J20:J23)</f>
        <v>24</v>
      </c>
      <c r="K19" s="7">
        <v>0.6</v>
      </c>
      <c r="L19" s="4">
        <f>SUM(L20:L23)</f>
        <v>24</v>
      </c>
      <c r="M19" s="4">
        <f>SUM(M20:M23)</f>
        <v>20</v>
      </c>
      <c r="N19" s="7">
        <v>0.66666666666666663</v>
      </c>
      <c r="O19" s="4">
        <f>SUM(O20:O23)</f>
        <v>20</v>
      </c>
      <c r="P19" s="23">
        <f t="shared" si="4"/>
        <v>48</v>
      </c>
      <c r="Q19" s="7">
        <f t="shared" si="0"/>
        <v>0.6</v>
      </c>
      <c r="R19" s="23">
        <f t="shared" si="4"/>
        <v>48</v>
      </c>
      <c r="S19" s="23">
        <f t="shared" si="5"/>
        <v>40</v>
      </c>
      <c r="T19" s="7">
        <f t="shared" si="1"/>
        <v>0.66666666666666663</v>
      </c>
      <c r="U19" s="23">
        <f t="shared" si="6"/>
        <v>40</v>
      </c>
      <c r="V19" s="4">
        <v>0</v>
      </c>
      <c r="W19" s="25">
        <v>0</v>
      </c>
      <c r="X19" s="5">
        <v>0</v>
      </c>
    </row>
    <row r="20" spans="2:24" x14ac:dyDescent="0.4">
      <c r="B20" s="19"/>
      <c r="C20" s="9" t="s">
        <v>18</v>
      </c>
      <c r="D20" s="12">
        <v>4</v>
      </c>
      <c r="E20" s="16">
        <v>0.1</v>
      </c>
      <c r="F20" s="12">
        <v>4</v>
      </c>
      <c r="G20" s="4">
        <f>D20-1</f>
        <v>3</v>
      </c>
      <c r="H20" s="7">
        <v>0.1</v>
      </c>
      <c r="I20" s="4">
        <f>F20-1</f>
        <v>3</v>
      </c>
      <c r="J20" s="12">
        <v>4</v>
      </c>
      <c r="K20" s="16">
        <v>0.1</v>
      </c>
      <c r="L20" s="12">
        <v>4</v>
      </c>
      <c r="M20" s="4">
        <f>J20-1</f>
        <v>3</v>
      </c>
      <c r="N20" s="7">
        <v>0.1</v>
      </c>
      <c r="O20" s="4">
        <f>L20-1</f>
        <v>3</v>
      </c>
      <c r="P20" s="23">
        <f t="shared" si="4"/>
        <v>8</v>
      </c>
      <c r="Q20" s="7">
        <f t="shared" si="0"/>
        <v>0.1</v>
      </c>
      <c r="R20" s="23">
        <f t="shared" si="4"/>
        <v>8</v>
      </c>
      <c r="S20" s="23">
        <f t="shared" si="5"/>
        <v>6</v>
      </c>
      <c r="T20" s="7">
        <f t="shared" si="1"/>
        <v>0.1</v>
      </c>
      <c r="U20" s="23">
        <f t="shared" si="6"/>
        <v>6</v>
      </c>
      <c r="V20" s="4">
        <v>0</v>
      </c>
      <c r="W20" s="25">
        <v>0</v>
      </c>
      <c r="X20" s="5">
        <v>0</v>
      </c>
    </row>
    <row r="21" spans="2:24" x14ac:dyDescent="0.4">
      <c r="B21" s="19"/>
      <c r="C21" s="9" t="s">
        <v>19</v>
      </c>
      <c r="D21" s="12">
        <v>5</v>
      </c>
      <c r="E21" s="16">
        <v>0.125</v>
      </c>
      <c r="F21" s="12">
        <v>5</v>
      </c>
      <c r="G21" s="4">
        <f>D21-1</f>
        <v>4</v>
      </c>
      <c r="H21" s="7">
        <v>0.13333333333333333</v>
      </c>
      <c r="I21" s="4">
        <f>F21-1</f>
        <v>4</v>
      </c>
      <c r="J21" s="12">
        <v>5</v>
      </c>
      <c r="K21" s="16">
        <v>0.125</v>
      </c>
      <c r="L21" s="12">
        <v>5</v>
      </c>
      <c r="M21" s="4">
        <f>J21-1</f>
        <v>4</v>
      </c>
      <c r="N21" s="7">
        <v>0.13333333333333333</v>
      </c>
      <c r="O21" s="4">
        <f>L21-1</f>
        <v>4</v>
      </c>
      <c r="P21" s="23">
        <f t="shared" si="4"/>
        <v>10</v>
      </c>
      <c r="Q21" s="7">
        <f t="shared" si="0"/>
        <v>0.125</v>
      </c>
      <c r="R21" s="23">
        <f t="shared" si="4"/>
        <v>10</v>
      </c>
      <c r="S21" s="23">
        <f t="shared" si="5"/>
        <v>8</v>
      </c>
      <c r="T21" s="7">
        <f t="shared" si="1"/>
        <v>0.13333333333333333</v>
      </c>
      <c r="U21" s="23">
        <f t="shared" si="6"/>
        <v>8</v>
      </c>
      <c r="V21" s="4">
        <v>0</v>
      </c>
      <c r="W21" s="25">
        <v>0</v>
      </c>
      <c r="X21" s="5">
        <v>0</v>
      </c>
    </row>
    <row r="22" spans="2:24" x14ac:dyDescent="0.4">
      <c r="B22" s="19"/>
      <c r="C22" s="9" t="s">
        <v>20</v>
      </c>
      <c r="D22" s="12">
        <v>7</v>
      </c>
      <c r="E22" s="16">
        <v>0.17499999999999999</v>
      </c>
      <c r="F22" s="12">
        <v>7</v>
      </c>
      <c r="G22" s="4">
        <f>D22-1</f>
        <v>6</v>
      </c>
      <c r="H22" s="7">
        <v>0.2</v>
      </c>
      <c r="I22" s="4">
        <f>F22-1</f>
        <v>6</v>
      </c>
      <c r="J22" s="12">
        <v>7</v>
      </c>
      <c r="K22" s="16">
        <v>0.17499999999999999</v>
      </c>
      <c r="L22" s="12">
        <v>7</v>
      </c>
      <c r="M22" s="4">
        <f>J22-1</f>
        <v>6</v>
      </c>
      <c r="N22" s="7">
        <v>0.2</v>
      </c>
      <c r="O22" s="4">
        <f>L22-1</f>
        <v>6</v>
      </c>
      <c r="P22" s="23">
        <f t="shared" si="4"/>
        <v>14</v>
      </c>
      <c r="Q22" s="7">
        <f t="shared" si="0"/>
        <v>0.17499999999999999</v>
      </c>
      <c r="R22" s="23">
        <f t="shared" si="4"/>
        <v>14</v>
      </c>
      <c r="S22" s="23">
        <f t="shared" si="5"/>
        <v>12</v>
      </c>
      <c r="T22" s="7">
        <f t="shared" si="1"/>
        <v>0.2</v>
      </c>
      <c r="U22" s="23">
        <f t="shared" si="6"/>
        <v>12</v>
      </c>
      <c r="V22" s="4">
        <v>0</v>
      </c>
      <c r="W22" s="25">
        <v>0</v>
      </c>
      <c r="X22" s="5">
        <v>0</v>
      </c>
    </row>
    <row r="23" spans="2:24" x14ac:dyDescent="0.4">
      <c r="B23" s="19"/>
      <c r="C23" s="9" t="s">
        <v>21</v>
      </c>
      <c r="D23" s="12">
        <v>8</v>
      </c>
      <c r="E23" s="16">
        <v>0.2</v>
      </c>
      <c r="F23" s="12">
        <v>8</v>
      </c>
      <c r="G23" s="4">
        <f>D23-1</f>
        <v>7</v>
      </c>
      <c r="H23" s="7">
        <v>0.23333333333333334</v>
      </c>
      <c r="I23" s="4">
        <f>F23-1</f>
        <v>7</v>
      </c>
      <c r="J23" s="12">
        <v>8</v>
      </c>
      <c r="K23" s="16">
        <v>0.2</v>
      </c>
      <c r="L23" s="12">
        <v>8</v>
      </c>
      <c r="M23" s="4">
        <f>J23-1</f>
        <v>7</v>
      </c>
      <c r="N23" s="7">
        <v>0.23333333333333334</v>
      </c>
      <c r="O23" s="4">
        <f>L23-1</f>
        <v>7</v>
      </c>
      <c r="P23" s="23">
        <f t="shared" si="4"/>
        <v>16</v>
      </c>
      <c r="Q23" s="7">
        <f t="shared" si="0"/>
        <v>0.2</v>
      </c>
      <c r="R23" s="23">
        <f t="shared" si="4"/>
        <v>16</v>
      </c>
      <c r="S23" s="23">
        <f t="shared" si="5"/>
        <v>14</v>
      </c>
      <c r="T23" s="7">
        <f t="shared" si="1"/>
        <v>0.23333333333333334</v>
      </c>
      <c r="U23" s="23">
        <f t="shared" si="6"/>
        <v>14</v>
      </c>
      <c r="V23" s="4">
        <v>0</v>
      </c>
      <c r="W23" s="25">
        <v>0</v>
      </c>
      <c r="X23" s="5">
        <v>0</v>
      </c>
    </row>
    <row r="24" spans="2:24" x14ac:dyDescent="0.4">
      <c r="B24" s="20" t="s">
        <v>23</v>
      </c>
      <c r="C24" s="9"/>
      <c r="D24" s="12">
        <f>SUM(D25)</f>
        <v>0</v>
      </c>
      <c r="E24" s="16">
        <v>0</v>
      </c>
      <c r="F24" s="12">
        <f>SUM(F25)</f>
        <v>0</v>
      </c>
      <c r="G24" s="12">
        <f>SUM(G25)</f>
        <v>0</v>
      </c>
      <c r="H24" s="16">
        <v>0</v>
      </c>
      <c r="I24" s="12">
        <f>SUM(I25)</f>
        <v>0</v>
      </c>
      <c r="J24" s="12">
        <f>SUM(J25)</f>
        <v>0</v>
      </c>
      <c r="K24" s="16">
        <v>0</v>
      </c>
      <c r="L24" s="12">
        <f>SUM(L25)</f>
        <v>0</v>
      </c>
      <c r="M24" s="12">
        <f>SUM(M25)</f>
        <v>0</v>
      </c>
      <c r="N24" s="16">
        <v>0</v>
      </c>
      <c r="O24" s="12">
        <f>SUM(O25)</f>
        <v>0</v>
      </c>
      <c r="P24" s="23">
        <f t="shared" si="4"/>
        <v>0</v>
      </c>
      <c r="Q24" s="7">
        <f t="shared" si="0"/>
        <v>0</v>
      </c>
      <c r="R24" s="23">
        <f t="shared" si="4"/>
        <v>0</v>
      </c>
      <c r="S24" s="23">
        <f t="shared" si="5"/>
        <v>0</v>
      </c>
      <c r="T24" s="7">
        <f t="shared" si="1"/>
        <v>0</v>
      </c>
      <c r="U24" s="23">
        <f t="shared" si="6"/>
        <v>0</v>
      </c>
      <c r="V24" s="4">
        <v>0</v>
      </c>
      <c r="W24" s="25">
        <v>0</v>
      </c>
      <c r="X24" s="5">
        <v>0</v>
      </c>
    </row>
    <row r="25" spans="2:24" x14ac:dyDescent="0.4">
      <c r="B25" s="19"/>
      <c r="C25" s="8" t="s">
        <v>22</v>
      </c>
      <c r="D25" s="12">
        <v>0</v>
      </c>
      <c r="E25" s="16">
        <v>0</v>
      </c>
      <c r="F25" s="12">
        <v>0</v>
      </c>
      <c r="G25" s="12">
        <v>0</v>
      </c>
      <c r="H25" s="16">
        <v>0</v>
      </c>
      <c r="I25" s="12">
        <v>0</v>
      </c>
      <c r="J25" s="12">
        <v>0</v>
      </c>
      <c r="K25" s="16">
        <v>0</v>
      </c>
      <c r="L25" s="12">
        <v>0</v>
      </c>
      <c r="M25" s="12">
        <v>0</v>
      </c>
      <c r="N25" s="16">
        <v>0</v>
      </c>
      <c r="O25" s="12">
        <v>0</v>
      </c>
      <c r="P25" s="23">
        <f t="shared" si="4"/>
        <v>0</v>
      </c>
      <c r="Q25" s="7">
        <f t="shared" si="0"/>
        <v>0</v>
      </c>
      <c r="R25" s="23">
        <f t="shared" si="4"/>
        <v>0</v>
      </c>
      <c r="S25" s="23">
        <f t="shared" si="5"/>
        <v>0</v>
      </c>
      <c r="T25" s="7">
        <f t="shared" si="1"/>
        <v>0</v>
      </c>
      <c r="U25" s="23">
        <f t="shared" si="6"/>
        <v>0</v>
      </c>
      <c r="V25" s="4">
        <v>0</v>
      </c>
      <c r="W25" s="25">
        <v>0</v>
      </c>
      <c r="X25" s="5">
        <v>0</v>
      </c>
    </row>
    <row r="26" spans="2:24" ht="18" thickBot="1" x14ac:dyDescent="0.45">
      <c r="B26" s="13" t="s">
        <v>3</v>
      </c>
      <c r="C26" s="14"/>
      <c r="D26" s="15">
        <v>40</v>
      </c>
      <c r="E26" s="21">
        <v>1</v>
      </c>
      <c r="F26" s="15">
        <v>40</v>
      </c>
      <c r="G26" s="15">
        <v>30</v>
      </c>
      <c r="H26" s="21">
        <v>1</v>
      </c>
      <c r="I26" s="15">
        <v>30</v>
      </c>
      <c r="J26" s="15">
        <v>40</v>
      </c>
      <c r="K26" s="21">
        <v>1</v>
      </c>
      <c r="L26" s="15">
        <v>40</v>
      </c>
      <c r="M26" s="15">
        <v>30</v>
      </c>
      <c r="N26" s="21">
        <v>1</v>
      </c>
      <c r="O26" s="15">
        <v>30</v>
      </c>
      <c r="P26" s="23">
        <f>SUM(D26,J26)</f>
        <v>80</v>
      </c>
      <c r="Q26" s="21">
        <v>1</v>
      </c>
      <c r="R26" s="23">
        <f>SUM(F26,L26)</f>
        <v>80</v>
      </c>
      <c r="S26" s="23">
        <f>SUM(G26,M26)</f>
        <v>60</v>
      </c>
      <c r="T26" s="21">
        <v>1</v>
      </c>
      <c r="U26" s="23">
        <f>SUM(I26,O26)</f>
        <v>60</v>
      </c>
      <c r="V26" s="4">
        <v>0</v>
      </c>
      <c r="W26" s="25">
        <v>0</v>
      </c>
      <c r="X26" s="5">
        <v>0</v>
      </c>
    </row>
    <row r="27" spans="2:24" hidden="1" x14ac:dyDescent="0.4">
      <c r="P27">
        <v>80</v>
      </c>
      <c r="R27">
        <v>80</v>
      </c>
      <c r="S27" s="23">
        <v>60</v>
      </c>
    </row>
    <row r="28" spans="2:24" hidden="1" x14ac:dyDescent="0.4">
      <c r="P28">
        <v>80</v>
      </c>
      <c r="R28">
        <v>80</v>
      </c>
      <c r="S28" s="23">
        <v>60</v>
      </c>
    </row>
    <row r="29" spans="2:24" hidden="1" x14ac:dyDescent="0.4">
      <c r="P29">
        <v>80</v>
      </c>
      <c r="R29">
        <v>80</v>
      </c>
      <c r="S29">
        <v>60</v>
      </c>
    </row>
    <row r="30" spans="2:24" hidden="1" x14ac:dyDescent="0.4">
      <c r="P30">
        <v>80</v>
      </c>
      <c r="R30">
        <v>80</v>
      </c>
      <c r="S30" s="23">
        <v>60</v>
      </c>
    </row>
    <row r="31" spans="2:24" hidden="1" x14ac:dyDescent="0.4">
      <c r="P31">
        <v>80</v>
      </c>
      <c r="R31">
        <v>80</v>
      </c>
      <c r="S31" s="23">
        <v>60</v>
      </c>
    </row>
    <row r="32" spans="2:24" hidden="1" x14ac:dyDescent="0.4">
      <c r="P32">
        <v>80</v>
      </c>
      <c r="R32">
        <v>80</v>
      </c>
      <c r="S32">
        <v>60</v>
      </c>
    </row>
    <row r="33" spans="2:19" hidden="1" x14ac:dyDescent="0.4">
      <c r="P33">
        <v>80</v>
      </c>
      <c r="R33">
        <v>80</v>
      </c>
      <c r="S33" s="23">
        <v>60</v>
      </c>
    </row>
    <row r="34" spans="2:19" hidden="1" x14ac:dyDescent="0.4">
      <c r="P34">
        <v>80</v>
      </c>
      <c r="R34">
        <v>80</v>
      </c>
      <c r="S34" s="23">
        <v>60</v>
      </c>
    </row>
    <row r="35" spans="2:19" hidden="1" x14ac:dyDescent="0.4">
      <c r="P35">
        <v>80</v>
      </c>
      <c r="R35">
        <v>80</v>
      </c>
      <c r="S35">
        <v>60</v>
      </c>
    </row>
    <row r="36" spans="2:19" hidden="1" x14ac:dyDescent="0.4">
      <c r="P36">
        <v>80</v>
      </c>
      <c r="R36">
        <v>80</v>
      </c>
      <c r="S36" s="23">
        <v>60</v>
      </c>
    </row>
    <row r="37" spans="2:19" hidden="1" x14ac:dyDescent="0.4">
      <c r="P37">
        <v>80</v>
      </c>
      <c r="R37">
        <v>80</v>
      </c>
      <c r="S37" s="23">
        <v>60</v>
      </c>
    </row>
    <row r="38" spans="2:19" hidden="1" x14ac:dyDescent="0.4">
      <c r="P38">
        <v>80</v>
      </c>
      <c r="R38">
        <v>80</v>
      </c>
      <c r="S38">
        <v>60</v>
      </c>
    </row>
    <row r="39" spans="2:19" hidden="1" x14ac:dyDescent="0.4">
      <c r="P39">
        <v>80</v>
      </c>
      <c r="R39">
        <v>80</v>
      </c>
      <c r="S39" s="23">
        <v>60</v>
      </c>
    </row>
    <row r="40" spans="2:19" hidden="1" x14ac:dyDescent="0.4">
      <c r="P40">
        <v>80</v>
      </c>
      <c r="R40">
        <v>80</v>
      </c>
      <c r="S40" s="23">
        <v>60</v>
      </c>
    </row>
    <row r="41" spans="2:19" hidden="1" x14ac:dyDescent="0.4">
      <c r="P41">
        <v>80</v>
      </c>
      <c r="R41">
        <v>80</v>
      </c>
      <c r="S41">
        <v>60</v>
      </c>
    </row>
    <row r="42" spans="2:19" hidden="1" x14ac:dyDescent="0.4">
      <c r="P42">
        <v>80</v>
      </c>
      <c r="R42">
        <v>80</v>
      </c>
      <c r="S42" s="23">
        <v>60</v>
      </c>
    </row>
    <row r="43" spans="2:19" hidden="1" x14ac:dyDescent="0.4">
      <c r="P43">
        <v>80</v>
      </c>
      <c r="R43">
        <v>80</v>
      </c>
      <c r="S43" s="23">
        <v>60</v>
      </c>
    </row>
    <row r="44" spans="2:19" hidden="1" x14ac:dyDescent="0.4">
      <c r="P44">
        <v>80</v>
      </c>
      <c r="R44">
        <v>80</v>
      </c>
      <c r="S44">
        <v>60</v>
      </c>
    </row>
    <row r="45" spans="2:19" hidden="1" x14ac:dyDescent="0.4"/>
    <row r="46" spans="2:19" x14ac:dyDescent="0.4">
      <c r="B46" t="s">
        <v>38</v>
      </c>
    </row>
  </sheetData>
  <mergeCells count="14">
    <mergeCell ref="S5:U5"/>
    <mergeCell ref="D3:U3"/>
    <mergeCell ref="V3:X3"/>
    <mergeCell ref="V4:X5"/>
    <mergeCell ref="B5:C5"/>
    <mergeCell ref="G5:I5"/>
    <mergeCell ref="D5:F5"/>
    <mergeCell ref="P5:R5"/>
    <mergeCell ref="J5:L5"/>
    <mergeCell ref="M5:O5"/>
    <mergeCell ref="D4:I4"/>
    <mergeCell ref="J4:O4"/>
    <mergeCell ref="P4:U4"/>
    <mergeCell ref="B3:C4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이성한</dc:creator>
  <cp:lastModifiedBy>rkd72</cp:lastModifiedBy>
  <dcterms:created xsi:type="dcterms:W3CDTF">2025-11-05T20:45:03Z</dcterms:created>
  <dcterms:modified xsi:type="dcterms:W3CDTF">2026-01-17T17:06:47Z</dcterms:modified>
</cp:coreProperties>
</file>