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4차테스트데이터세트\새 폴더\"/>
    </mc:Choice>
  </mc:AlternateContent>
  <xr:revisionPtr revIDLastSave="0" documentId="8_{9A87F92E-E1E3-427A-8664-A47EC049CCFF}" xr6:coauthVersionLast="45" xr6:coauthVersionMax="45" xr10:uidLastSave="{00000000-0000-0000-0000-000000000000}"/>
  <bookViews>
    <workbookView xWindow="2688" yWindow="2268" windowWidth="23052" windowHeight="14292" activeTab="8" xr2:uid="{00000000-000D-0000-FFFF-FFFF00000000}"/>
  </bookViews>
  <sheets>
    <sheet name="2015" sheetId="2" r:id="rId1"/>
    <sheet name="2016" sheetId="3" r:id="rId2"/>
    <sheet name="2017" sheetId="4" r:id="rId3"/>
    <sheet name="2018" sheetId="5" r:id="rId4"/>
    <sheet name="2019" sheetId="6" r:id="rId5"/>
    <sheet name="2020" sheetId="7" r:id="rId6"/>
    <sheet name="2021" sheetId="8" r:id="rId7"/>
    <sheet name="2022" sheetId="9" r:id="rId8"/>
    <sheet name="2023" sheetId="10" r:id="rId9"/>
    <sheet name="2024" sheetId="11" r:id="rId10"/>
    <sheet name="2025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12" l="1"/>
  <c r="G14" i="12"/>
  <c r="F14" i="12"/>
  <c r="E14" i="12"/>
  <c r="D14" i="12"/>
  <c r="C14" i="12"/>
  <c r="B14" i="12"/>
  <c r="I13" i="12"/>
  <c r="I12" i="12"/>
  <c r="I11" i="12"/>
  <c r="I10" i="12"/>
  <c r="I9" i="12"/>
  <c r="I8" i="12"/>
  <c r="I7" i="12"/>
  <c r="I6" i="12"/>
  <c r="I5" i="12"/>
  <c r="I4" i="12"/>
  <c r="I3" i="12"/>
  <c r="I2" i="12"/>
  <c r="I14" i="12" s="1"/>
  <c r="H14" i="11"/>
  <c r="G14" i="11"/>
  <c r="F14" i="11"/>
  <c r="E14" i="11"/>
  <c r="D14" i="11"/>
  <c r="C14" i="11"/>
  <c r="B14" i="11"/>
  <c r="I13" i="11"/>
  <c r="I12" i="11"/>
  <c r="I11" i="11"/>
  <c r="I10" i="11"/>
  <c r="I9" i="11"/>
  <c r="I8" i="11"/>
  <c r="I7" i="11"/>
  <c r="I6" i="11"/>
  <c r="I5" i="11"/>
  <c r="I4" i="11"/>
  <c r="I14" i="11" s="1"/>
  <c r="I3" i="11"/>
  <c r="I2" i="11"/>
  <c r="H14" i="10"/>
  <c r="G14" i="10"/>
  <c r="F14" i="10"/>
  <c r="E14" i="10"/>
  <c r="D14" i="10"/>
  <c r="C14" i="10"/>
  <c r="B14" i="10"/>
  <c r="I13" i="10"/>
  <c r="I12" i="10"/>
  <c r="I11" i="10"/>
  <c r="I10" i="10"/>
  <c r="I9" i="10"/>
  <c r="I8" i="10"/>
  <c r="I7" i="10"/>
  <c r="I6" i="10"/>
  <c r="I5" i="10"/>
  <c r="I4" i="10"/>
  <c r="I3" i="10"/>
  <c r="I2" i="10"/>
  <c r="I14" i="10" s="1"/>
  <c r="G14" i="9"/>
  <c r="F14" i="9"/>
  <c r="E14" i="9"/>
  <c r="D14" i="9"/>
  <c r="C14" i="9"/>
  <c r="B14" i="9"/>
  <c r="H13" i="9"/>
  <c r="H12" i="9"/>
  <c r="H11" i="9"/>
  <c r="H10" i="9"/>
  <c r="H9" i="9"/>
  <c r="H8" i="9"/>
  <c r="H7" i="9"/>
  <c r="H6" i="9"/>
  <c r="H5" i="9"/>
  <c r="H4" i="9"/>
  <c r="H3" i="9"/>
  <c r="H2" i="9"/>
  <c r="F14" i="8"/>
  <c r="E14" i="8"/>
  <c r="D14" i="8"/>
  <c r="C14" i="8"/>
  <c r="B14" i="8"/>
  <c r="G13" i="8"/>
  <c r="G12" i="8"/>
  <c r="G11" i="8"/>
  <c r="G10" i="8"/>
  <c r="G9" i="8"/>
  <c r="G8" i="8"/>
  <c r="G7" i="8"/>
  <c r="G6" i="8"/>
  <c r="G5" i="8"/>
  <c r="G4" i="8"/>
  <c r="G3" i="8"/>
  <c r="G2" i="8"/>
  <c r="H14" i="7"/>
  <c r="G14" i="7"/>
  <c r="F14" i="7"/>
  <c r="E14" i="7"/>
  <c r="D14" i="7"/>
  <c r="C14" i="7"/>
  <c r="B14" i="7"/>
  <c r="I13" i="7"/>
  <c r="I12" i="7"/>
  <c r="I11" i="7"/>
  <c r="I10" i="7"/>
  <c r="I9" i="7"/>
  <c r="I8" i="7"/>
  <c r="I7" i="7"/>
  <c r="I6" i="7"/>
  <c r="I5" i="7"/>
  <c r="I4" i="7"/>
  <c r="I3" i="7"/>
  <c r="I2" i="7"/>
  <c r="I14" i="7" s="1"/>
  <c r="H14" i="6"/>
  <c r="G14" i="6"/>
  <c r="F14" i="6"/>
  <c r="E14" i="6"/>
  <c r="D14" i="6"/>
  <c r="C14" i="6"/>
  <c r="B14" i="6"/>
  <c r="I13" i="6"/>
  <c r="I12" i="6"/>
  <c r="I11" i="6"/>
  <c r="I10" i="6"/>
  <c r="I9" i="6"/>
  <c r="I8" i="6"/>
  <c r="I7" i="6"/>
  <c r="I6" i="6"/>
  <c r="I5" i="6"/>
  <c r="I4" i="6"/>
  <c r="I3" i="6"/>
  <c r="I2" i="6"/>
  <c r="I14" i="6" s="1"/>
  <c r="H14" i="5"/>
  <c r="G14" i="5"/>
  <c r="F14" i="5"/>
  <c r="E14" i="5"/>
  <c r="D14" i="5"/>
  <c r="C14" i="5"/>
  <c r="B14" i="5"/>
  <c r="I13" i="5"/>
  <c r="I12" i="5"/>
  <c r="I11" i="5"/>
  <c r="I10" i="5"/>
  <c r="I9" i="5"/>
  <c r="I8" i="5"/>
  <c r="I7" i="5"/>
  <c r="I6" i="5"/>
  <c r="I5" i="5"/>
  <c r="I4" i="5"/>
  <c r="I3" i="5"/>
  <c r="I2" i="5"/>
  <c r="I14" i="5" s="1"/>
  <c r="H14" i="4"/>
  <c r="G14" i="4"/>
  <c r="F14" i="4"/>
  <c r="E14" i="4"/>
  <c r="D14" i="4"/>
  <c r="C14" i="4"/>
  <c r="B14" i="4"/>
  <c r="I13" i="4"/>
  <c r="I12" i="4"/>
  <c r="I11" i="4"/>
  <c r="I10" i="4"/>
  <c r="I9" i="4"/>
  <c r="I8" i="4"/>
  <c r="I7" i="4"/>
  <c r="I6" i="4"/>
  <c r="I5" i="4"/>
  <c r="I4" i="4"/>
  <c r="I3" i="4"/>
  <c r="I2" i="4"/>
  <c r="I14" i="4" s="1"/>
  <c r="H14" i="3"/>
  <c r="G14" i="3"/>
  <c r="F14" i="3"/>
  <c r="E14" i="3"/>
  <c r="D14" i="3"/>
  <c r="C14" i="3"/>
  <c r="B14" i="3"/>
  <c r="I13" i="3"/>
  <c r="I12" i="3"/>
  <c r="I11" i="3"/>
  <c r="I10" i="3"/>
  <c r="I9" i="3"/>
  <c r="I8" i="3"/>
  <c r="I7" i="3"/>
  <c r="I6" i="3"/>
  <c r="I5" i="3"/>
  <c r="I4" i="3"/>
  <c r="I3" i="3"/>
  <c r="I2" i="3"/>
  <c r="I14" i="3" s="1"/>
  <c r="H14" i="2"/>
  <c r="G14" i="2"/>
  <c r="F14" i="2"/>
  <c r="E14" i="2"/>
  <c r="D14" i="2"/>
  <c r="C14" i="2"/>
  <c r="B14" i="2"/>
  <c r="I13" i="2"/>
  <c r="I12" i="2"/>
  <c r="I11" i="2"/>
  <c r="I10" i="2"/>
  <c r="I9" i="2"/>
  <c r="I8" i="2"/>
  <c r="I7" i="2"/>
  <c r="I6" i="2"/>
  <c r="I5" i="2"/>
  <c r="I4" i="2"/>
  <c r="I3" i="2"/>
  <c r="I2" i="2"/>
  <c r="I14" i="2" s="1"/>
  <c r="H14" i="9" l="1"/>
  <c r="G14" i="8"/>
</calcChain>
</file>

<file path=xl/sharedStrings.xml><?xml version="1.0" encoding="utf-8"?>
<sst xmlns="http://schemas.openxmlformats.org/spreadsheetml/2006/main" count="239" uniqueCount="142">
  <si>
    <t>Year Total</t>
  </si>
  <si>
    <t>Date</t>
  </si>
  <si>
    <t>Korea</t>
  </si>
  <si>
    <t>Japan</t>
  </si>
  <si>
    <t>Taiwan</t>
  </si>
  <si>
    <t>Malaysia</t>
  </si>
  <si>
    <t>USA</t>
  </si>
  <si>
    <t>Canada</t>
  </si>
  <si>
    <t>India</t>
  </si>
  <si>
    <t>Total_Vials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</si>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</sst>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70AD47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selection activeCell="E20" sqref="E20"/>
    </sheetView>
  </sheetViews>
  <sheetFormatPr defaultRowHeight="17.399999999999999" x14ac:dyDescent="0.4"/>
  <cols>
    <col min="1" max="1" width="12" customWidth="1"/>
    <col min="2" max="9" width="13" customWidth="1"/>
  </cols>
  <sheetData>
    <row r="1" spans="1:9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I2" s="4">
        <f t="shared" ref="I2:I13" si="0">SUM(B2:H2)</f>
        <v>0</v>
      </c>
    </row>
    <row r="3" spans="1:9" x14ac:dyDescent="0.4">
      <c r="A3" s="2" t="s">
        <v>11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I3" s="4">
        <f t="shared" si="0"/>
        <v>0</v>
      </c>
    </row>
    <row r="4" spans="1:9" x14ac:dyDescent="0.4">
      <c r="A4" s="2" t="s">
        <v>12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I4" s="4">
        <f t="shared" si="0"/>
        <v>0</v>
      </c>
    </row>
    <row r="5" spans="1:9" x14ac:dyDescent="0.4">
      <c r="A5" s="2" t="s">
        <v>13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I5" s="4">
        <f t="shared" si="0"/>
        <v>0</v>
      </c>
    </row>
    <row r="6" spans="1:9" x14ac:dyDescent="0.4">
      <c r="A6" s="2" t="s">
        <v>14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I6" s="4">
        <f t="shared" si="0"/>
        <v>0</v>
      </c>
    </row>
    <row r="7" spans="1:9" x14ac:dyDescent="0.4">
      <c r="A7" s="2" t="s">
        <v>15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I7" s="4">
        <f t="shared" si="0"/>
        <v>0</v>
      </c>
    </row>
    <row r="8" spans="1:9" x14ac:dyDescent="0.4">
      <c r="A8" s="2" t="s">
        <v>16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I8" s="4">
        <f t="shared" si="0"/>
        <v>0</v>
      </c>
    </row>
    <row r="9" spans="1:9" x14ac:dyDescent="0.4">
      <c r="A9" s="2" t="s">
        <v>17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I9" s="4">
        <f t="shared" si="0"/>
        <v>0</v>
      </c>
    </row>
    <row r="10" spans="1:9" x14ac:dyDescent="0.4">
      <c r="A10" s="2" t="s">
        <v>18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I10" s="4">
        <f t="shared" si="0"/>
        <v>0</v>
      </c>
    </row>
    <row r="11" spans="1:9" x14ac:dyDescent="0.4">
      <c r="A11" s="2" t="s">
        <v>19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I11" s="4">
        <f t="shared" si="0"/>
        <v>0</v>
      </c>
    </row>
    <row r="12" spans="1:9" x14ac:dyDescent="0.4">
      <c r="A12" s="2" t="s">
        <v>20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I12" s="4">
        <f t="shared" si="0"/>
        <v>0</v>
      </c>
    </row>
    <row r="13" spans="1:9" x14ac:dyDescent="0.4">
      <c r="A13" s="2" t="s">
        <v>21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I13" s="4">
        <f t="shared" si="0"/>
        <v>0</v>
      </c>
    </row>
    <row r="14" spans="1:9" x14ac:dyDescent="0.4">
      <c r="A14" s="5" t="s">
        <v>0</v>
      </c>
      <c r="B14" s="6">
        <f t="shared" ref="B14:I14" si="1">SUM(B2:B13)</f>
        <v>0</v>
      </c>
      <c r="C14" s="6">
        <f t="shared" si="1"/>
        <v>0</v>
      </c>
      <c r="D14" s="6">
        <f t="shared" si="1"/>
        <v>0</v>
      </c>
      <c r="E14" s="6">
        <f t="shared" si="1"/>
        <v>0</v>
      </c>
      <c r="F14" s="6">
        <f t="shared" si="1"/>
        <v>0</v>
      </c>
      <c r="G14" s="6">
        <f t="shared" si="1"/>
        <v>0</v>
      </c>
      <c r="H14" s="6">
        <f t="shared" si="1"/>
        <v>0</v>
      </c>
      <c r="I14" s="6">
        <f t="shared" si="1"/>
        <v>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defaultRowHeight="17.399999999999999" x14ac:dyDescent="0.4"/>
  <cols>
    <col min="1" max="1" width="12" customWidth="1"/>
    <col min="2" max="9" width="13" customWidth="1"/>
  </cols>
  <sheetData>
    <row r="1" spans="1:9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">
      <c r="A2" s="2" t="s">
        <v>22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I2" s="4">
        <f t="shared" ref="I2:I13" si="0">SUM(B2:H2)</f>
        <v>0</v>
      </c>
    </row>
    <row r="3" spans="1:9" x14ac:dyDescent="0.4">
      <c r="A3" s="2" t="s">
        <v>23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I3" s="4">
        <f t="shared" si="0"/>
        <v>0</v>
      </c>
    </row>
    <row r="4" spans="1:9" x14ac:dyDescent="0.4">
      <c r="A4" s="2" t="s">
        <v>24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I4" s="4">
        <f t="shared" si="0"/>
        <v>0</v>
      </c>
    </row>
    <row r="5" spans="1:9" x14ac:dyDescent="0.4">
      <c r="A5" s="2" t="s">
        <v>25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I5" s="4">
        <f t="shared" si="0"/>
        <v>0</v>
      </c>
    </row>
    <row r="6" spans="1:9" x14ac:dyDescent="0.4">
      <c r="A6" s="2" t="s">
        <v>26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I6" s="4">
        <f t="shared" si="0"/>
        <v>0</v>
      </c>
    </row>
    <row r="7" spans="1:9" x14ac:dyDescent="0.4">
      <c r="A7" s="2" t="s">
        <v>27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I7" s="4">
        <f t="shared" si="0"/>
        <v>0</v>
      </c>
    </row>
    <row r="8" spans="1:9" x14ac:dyDescent="0.4">
      <c r="A8" s="2" t="s">
        <v>28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I8" s="4">
        <f t="shared" si="0"/>
        <v>0</v>
      </c>
    </row>
    <row r="9" spans="1:9" x14ac:dyDescent="0.4">
      <c r="A9" s="2" t="s">
        <v>29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I9" s="4">
        <f t="shared" si="0"/>
        <v>0</v>
      </c>
    </row>
    <row r="10" spans="1:9" x14ac:dyDescent="0.4">
      <c r="A10" s="2" t="s">
        <v>30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I10" s="4">
        <f t="shared" si="0"/>
        <v>0</v>
      </c>
    </row>
    <row r="11" spans="1:9" x14ac:dyDescent="0.4">
      <c r="A11" s="2" t="s">
        <v>31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I11" s="4">
        <f t="shared" si="0"/>
        <v>0</v>
      </c>
    </row>
    <row r="12" spans="1:9" x14ac:dyDescent="0.4">
      <c r="A12" s="2" t="s">
        <v>32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I12" s="4">
        <f t="shared" si="0"/>
        <v>0</v>
      </c>
    </row>
    <row r="13" spans="1:9" x14ac:dyDescent="0.4">
      <c r="A13" s="2" t="s">
        <v>33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I13" s="4">
        <f t="shared" si="0"/>
        <v>0</v>
      </c>
    </row>
    <row r="14" spans="1:9" x14ac:dyDescent="0.4">
      <c r="A14" s="5" t="s">
        <v>0</v>
      </c>
      <c r="B14" s="6">
        <f t="shared" ref="B14:I14" si="1">SUM(B2:B13)</f>
        <v>0</v>
      </c>
      <c r="C14" s="6">
        <f t="shared" si="1"/>
        <v>0</v>
      </c>
      <c r="D14" s="6">
        <f t="shared" si="1"/>
        <v>0</v>
      </c>
      <c r="E14" s="6">
        <f t="shared" si="1"/>
        <v>0</v>
      </c>
      <c r="F14" s="6">
        <f t="shared" si="1"/>
        <v>0</v>
      </c>
      <c r="G14" s="6">
        <f t="shared" si="1"/>
        <v>0</v>
      </c>
      <c r="H14" s="6">
        <f t="shared" si="1"/>
        <v>0</v>
      </c>
      <c r="I14" s="6">
        <f t="shared" si="1"/>
        <v>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7.399999999999999" x14ac:dyDescent="0.4"/>
  <cols>
    <col min="1" max="1" width="12" customWidth="1"/>
    <col min="2" max="9" width="13" customWidth="1"/>
  </cols>
  <sheetData>
    <row r="1" spans="1:9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">
      <c r="A2" s="2" t="s">
        <v>34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I2" s="4">
        <f t="shared" ref="I2:I13" si="0">SUM(B2:H2)</f>
        <v>0</v>
      </c>
    </row>
    <row r="3" spans="1:9" x14ac:dyDescent="0.4">
      <c r="A3" s="2" t="s">
        <v>35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I3" s="4">
        <f t="shared" si="0"/>
        <v>0</v>
      </c>
    </row>
    <row r="4" spans="1:9" x14ac:dyDescent="0.4">
      <c r="A4" s="2" t="s">
        <v>36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I4" s="4">
        <f t="shared" si="0"/>
        <v>0</v>
      </c>
    </row>
    <row r="5" spans="1:9" x14ac:dyDescent="0.4">
      <c r="A5" s="2" t="s">
        <v>37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I5" s="4">
        <f t="shared" si="0"/>
        <v>0</v>
      </c>
    </row>
    <row r="6" spans="1:9" x14ac:dyDescent="0.4">
      <c r="A6" s="2" t="s">
        <v>38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I6" s="4">
        <f t="shared" si="0"/>
        <v>0</v>
      </c>
    </row>
    <row r="7" spans="1:9" x14ac:dyDescent="0.4">
      <c r="A7" s="2" t="s">
        <v>39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I7" s="4">
        <f t="shared" si="0"/>
        <v>0</v>
      </c>
    </row>
    <row r="8" spans="1:9" x14ac:dyDescent="0.4">
      <c r="A8" s="2" t="s">
        <v>40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I8" s="4">
        <f t="shared" si="0"/>
        <v>0</v>
      </c>
    </row>
    <row r="9" spans="1:9" x14ac:dyDescent="0.4">
      <c r="A9" s="2" t="s">
        <v>41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I9" s="4">
        <f t="shared" si="0"/>
        <v>0</v>
      </c>
    </row>
    <row r="10" spans="1:9" x14ac:dyDescent="0.4">
      <c r="A10" s="2" t="s">
        <v>42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I10" s="4">
        <f t="shared" si="0"/>
        <v>0</v>
      </c>
    </row>
    <row r="11" spans="1:9" x14ac:dyDescent="0.4">
      <c r="A11" s="2" t="s">
        <v>43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I11" s="4">
        <f t="shared" si="0"/>
        <v>0</v>
      </c>
    </row>
    <row r="12" spans="1:9" x14ac:dyDescent="0.4">
      <c r="A12" s="2" t="s">
        <v>44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I12" s="4">
        <f t="shared" si="0"/>
        <v>0</v>
      </c>
    </row>
    <row r="13" spans="1:9" x14ac:dyDescent="0.4">
      <c r="A13" s="2" t="s">
        <v>45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I13" s="4">
        <f t="shared" si="0"/>
        <v>0</v>
      </c>
    </row>
    <row r="14" spans="1:9" x14ac:dyDescent="0.4">
      <c r="A14" s="5" t="s">
        <v>0</v>
      </c>
      <c r="B14" s="6">
        <f t="shared" ref="B14:I14" si="1">SUM(B2:B13)</f>
        <v>0</v>
      </c>
      <c r="C14" s="6">
        <f t="shared" si="1"/>
        <v>0</v>
      </c>
      <c r="D14" s="6">
        <f t="shared" si="1"/>
        <v>0</v>
      </c>
      <c r="E14" s="6">
        <f t="shared" si="1"/>
        <v>0</v>
      </c>
      <c r="F14" s="6">
        <f t="shared" si="1"/>
        <v>0</v>
      </c>
      <c r="G14" s="6">
        <f t="shared" si="1"/>
        <v>0</v>
      </c>
      <c r="H14" s="6">
        <f t="shared" si="1"/>
        <v>0</v>
      </c>
      <c r="I14" s="6">
        <f t="shared" si="1"/>
        <v>0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selection activeCell="D29" sqref="D29"/>
    </sheetView>
  </sheetViews>
  <sheetFormatPr defaultRowHeight="17.399999999999999" x14ac:dyDescent="0.4"/>
  <cols>
    <col min="1" max="1" width="12" customWidth="1"/>
    <col min="2" max="9" width="13" customWidth="1"/>
  </cols>
  <sheetData>
    <row r="1" spans="1:9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">
      <c r="A2" s="2" t="s">
        <v>46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I2" s="4">
        <f t="shared" ref="I2:I13" si="0">SUM(B2:H2)</f>
        <v>0</v>
      </c>
    </row>
    <row r="3" spans="1:9" x14ac:dyDescent="0.4">
      <c r="A3" s="2" t="s">
        <v>47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I3" s="4">
        <f t="shared" si="0"/>
        <v>0</v>
      </c>
    </row>
    <row r="4" spans="1:9" x14ac:dyDescent="0.4">
      <c r="A4" s="2" t="s">
        <v>48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I4" s="4">
        <f t="shared" si="0"/>
        <v>0</v>
      </c>
    </row>
    <row r="5" spans="1:9" x14ac:dyDescent="0.4">
      <c r="A5" s="2" t="s">
        <v>49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I5" s="4">
        <f t="shared" si="0"/>
        <v>0</v>
      </c>
    </row>
    <row r="6" spans="1:9" x14ac:dyDescent="0.4">
      <c r="A6" s="2" t="s">
        <v>50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I6" s="4">
        <f t="shared" si="0"/>
        <v>0</v>
      </c>
    </row>
    <row r="7" spans="1:9" x14ac:dyDescent="0.4">
      <c r="A7" s="2" t="s">
        <v>51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I7" s="4">
        <f t="shared" si="0"/>
        <v>0</v>
      </c>
    </row>
    <row r="8" spans="1:9" x14ac:dyDescent="0.4">
      <c r="A8" s="2" t="s">
        <v>52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I8" s="4">
        <f t="shared" si="0"/>
        <v>0</v>
      </c>
    </row>
    <row r="9" spans="1:9" x14ac:dyDescent="0.4">
      <c r="A9" s="2" t="s">
        <v>53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I9" s="4">
        <f t="shared" si="0"/>
        <v>0</v>
      </c>
    </row>
    <row r="10" spans="1:9" x14ac:dyDescent="0.4">
      <c r="A10" s="2" t="s">
        <v>54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I10" s="4">
        <f t="shared" si="0"/>
        <v>0</v>
      </c>
    </row>
    <row r="11" spans="1:9" x14ac:dyDescent="0.4">
      <c r="A11" s="2" t="s">
        <v>55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I11" s="4">
        <f t="shared" si="0"/>
        <v>0</v>
      </c>
    </row>
    <row r="12" spans="1:9" x14ac:dyDescent="0.4">
      <c r="A12" s="2" t="s">
        <v>56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I12" s="4">
        <f t="shared" si="0"/>
        <v>0</v>
      </c>
    </row>
    <row r="13" spans="1:9" x14ac:dyDescent="0.4">
      <c r="A13" s="2" t="s">
        <v>57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I13" s="4">
        <f t="shared" si="0"/>
        <v>0</v>
      </c>
    </row>
    <row r="14" spans="1:9" x14ac:dyDescent="0.4">
      <c r="A14" s="5" t="s">
        <v>0</v>
      </c>
      <c r="B14" s="6">
        <f t="shared" ref="B14:I14" si="1">SUM(B2:B13)</f>
        <v>0</v>
      </c>
      <c r="C14" s="6">
        <f t="shared" si="1"/>
        <v>0</v>
      </c>
      <c r="D14" s="6">
        <f t="shared" si="1"/>
        <v>0</v>
      </c>
      <c r="E14" s="6">
        <f t="shared" si="1"/>
        <v>0</v>
      </c>
      <c r="F14" s="6">
        <f t="shared" si="1"/>
        <v>0</v>
      </c>
      <c r="G14" s="6">
        <f t="shared" si="1"/>
        <v>0</v>
      </c>
      <c r="H14" s="6">
        <f t="shared" si="1"/>
        <v>0</v>
      </c>
      <c r="I14" s="6">
        <f t="shared" si="1"/>
        <v>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/>
  </sheetViews>
  <sheetFormatPr defaultRowHeight="17.399999999999999" x14ac:dyDescent="0.4"/>
  <cols>
    <col min="1" max="1" width="12" customWidth="1"/>
    <col min="2" max="9" width="13" customWidth="1"/>
  </cols>
  <sheetData>
    <row r="1" spans="1:9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">
      <c r="A2" s="2" t="s">
        <v>58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I2" s="4">
        <f t="shared" ref="I2:I13" si="0">SUM(B2:H2)</f>
        <v>0</v>
      </c>
    </row>
    <row r="3" spans="1:9" x14ac:dyDescent="0.4">
      <c r="A3" s="2" t="s">
        <v>59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I3" s="4">
        <f t="shared" si="0"/>
        <v>0</v>
      </c>
    </row>
    <row r="4" spans="1:9" x14ac:dyDescent="0.4">
      <c r="A4" s="2" t="s">
        <v>60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I4" s="4">
        <f t="shared" si="0"/>
        <v>0</v>
      </c>
    </row>
    <row r="5" spans="1:9" x14ac:dyDescent="0.4">
      <c r="A5" s="2" t="s">
        <v>61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I5" s="4">
        <f t="shared" si="0"/>
        <v>0</v>
      </c>
    </row>
    <row r="6" spans="1:9" x14ac:dyDescent="0.4">
      <c r="A6" s="2" t="s">
        <v>62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I6" s="4">
        <f t="shared" si="0"/>
        <v>0</v>
      </c>
    </row>
    <row r="7" spans="1:9" x14ac:dyDescent="0.4">
      <c r="A7" s="2" t="s">
        <v>63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I7" s="4">
        <f t="shared" si="0"/>
        <v>0</v>
      </c>
    </row>
    <row r="8" spans="1:9" x14ac:dyDescent="0.4">
      <c r="A8" s="2" t="s">
        <v>64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I8" s="4">
        <f t="shared" si="0"/>
        <v>0</v>
      </c>
    </row>
    <row r="9" spans="1:9" x14ac:dyDescent="0.4">
      <c r="A9" s="2" t="s">
        <v>65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I9" s="4">
        <f t="shared" si="0"/>
        <v>0</v>
      </c>
    </row>
    <row r="10" spans="1:9" x14ac:dyDescent="0.4">
      <c r="A10" s="2" t="s">
        <v>66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I10" s="4">
        <f t="shared" si="0"/>
        <v>0</v>
      </c>
    </row>
    <row r="11" spans="1:9" x14ac:dyDescent="0.4">
      <c r="A11" s="2" t="s">
        <v>67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I11" s="4">
        <f t="shared" si="0"/>
        <v>0</v>
      </c>
    </row>
    <row r="12" spans="1:9" x14ac:dyDescent="0.4">
      <c r="A12" s="2" t="s">
        <v>68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I12" s="4">
        <f t="shared" si="0"/>
        <v>0</v>
      </c>
    </row>
    <row r="13" spans="1:9" x14ac:dyDescent="0.4">
      <c r="A13" s="2" t="s">
        <v>69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I13" s="4">
        <f t="shared" si="0"/>
        <v>0</v>
      </c>
    </row>
    <row r="14" spans="1:9" x14ac:dyDescent="0.4">
      <c r="A14" s="5" t="s">
        <v>0</v>
      </c>
      <c r="B14" s="6">
        <f t="shared" ref="B14:I14" si="1">SUM(B2:B13)</f>
        <v>0</v>
      </c>
      <c r="C14" s="6">
        <f t="shared" si="1"/>
        <v>0</v>
      </c>
      <c r="D14" s="6">
        <f t="shared" si="1"/>
        <v>0</v>
      </c>
      <c r="E14" s="6">
        <f t="shared" si="1"/>
        <v>0</v>
      </c>
      <c r="F14" s="6">
        <f t="shared" si="1"/>
        <v>0</v>
      </c>
      <c r="G14" s="6">
        <f t="shared" si="1"/>
        <v>0</v>
      </c>
      <c r="H14" s="6">
        <f t="shared" si="1"/>
        <v>0</v>
      </c>
      <c r="I14" s="6">
        <f t="shared" si="1"/>
        <v>0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workbookViewId="0"/>
  </sheetViews>
  <sheetFormatPr defaultRowHeight="17.399999999999999" x14ac:dyDescent="0.4"/>
  <cols>
    <col min="1" max="1" width="12" customWidth="1"/>
    <col min="2" max="9" width="13" customWidth="1"/>
  </cols>
  <sheetData>
    <row r="1" spans="1:9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">
      <c r="A2" s="2" t="s">
        <v>70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I2" s="4">
        <f t="shared" ref="I2:I13" si="0">SUM(B2:H2)</f>
        <v>0</v>
      </c>
    </row>
    <row r="3" spans="1:9" x14ac:dyDescent="0.4">
      <c r="A3" s="2" t="s">
        <v>71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I3" s="4">
        <f t="shared" si="0"/>
        <v>0</v>
      </c>
    </row>
    <row r="4" spans="1:9" x14ac:dyDescent="0.4">
      <c r="A4" s="2" t="s">
        <v>72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I4" s="4">
        <f t="shared" si="0"/>
        <v>0</v>
      </c>
    </row>
    <row r="5" spans="1:9" x14ac:dyDescent="0.4">
      <c r="A5" s="2" t="s">
        <v>73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I5" s="4">
        <f t="shared" si="0"/>
        <v>0</v>
      </c>
    </row>
    <row r="6" spans="1:9" x14ac:dyDescent="0.4">
      <c r="A6" s="2" t="s">
        <v>74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I6" s="4">
        <f t="shared" si="0"/>
        <v>0</v>
      </c>
    </row>
    <row r="7" spans="1:9" x14ac:dyDescent="0.4">
      <c r="A7" s="2" t="s">
        <v>75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I7" s="4">
        <f t="shared" si="0"/>
        <v>0</v>
      </c>
    </row>
    <row r="8" spans="1:9" x14ac:dyDescent="0.4">
      <c r="A8" s="2" t="s">
        <v>76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I8" s="4">
        <f t="shared" si="0"/>
        <v>0</v>
      </c>
    </row>
    <row r="9" spans="1:9" x14ac:dyDescent="0.4">
      <c r="A9" s="2" t="s">
        <v>77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I9" s="4">
        <f t="shared" si="0"/>
        <v>0</v>
      </c>
    </row>
    <row r="10" spans="1:9" x14ac:dyDescent="0.4">
      <c r="A10" s="2" t="s">
        <v>78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I10" s="4">
        <f t="shared" si="0"/>
        <v>0</v>
      </c>
    </row>
    <row r="11" spans="1:9" x14ac:dyDescent="0.4">
      <c r="A11" s="2" t="s">
        <v>79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I11" s="4">
        <f t="shared" si="0"/>
        <v>0</v>
      </c>
    </row>
    <row r="12" spans="1:9" x14ac:dyDescent="0.4">
      <c r="A12" s="2" t="s">
        <v>80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I12" s="4">
        <f t="shared" si="0"/>
        <v>0</v>
      </c>
    </row>
    <row r="13" spans="1:9" x14ac:dyDescent="0.4">
      <c r="A13" s="2" t="s">
        <v>81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I13" s="4">
        <f t="shared" si="0"/>
        <v>0</v>
      </c>
    </row>
    <row r="14" spans="1:9" x14ac:dyDescent="0.4">
      <c r="A14" s="5" t="s">
        <v>0</v>
      </c>
      <c r="B14" s="6">
        <f t="shared" ref="B14:I14" si="1">SUM(B2:B13)</f>
        <v>0</v>
      </c>
      <c r="C14" s="6">
        <f t="shared" si="1"/>
        <v>0</v>
      </c>
      <c r="D14" s="6">
        <f t="shared" si="1"/>
        <v>0</v>
      </c>
      <c r="E14" s="6">
        <f t="shared" si="1"/>
        <v>0</v>
      </c>
      <c r="F14" s="6">
        <f t="shared" si="1"/>
        <v>0</v>
      </c>
      <c r="G14" s="6">
        <f t="shared" si="1"/>
        <v>0</v>
      </c>
      <c r="H14" s="6">
        <f t="shared" si="1"/>
        <v>0</v>
      </c>
      <c r="I14" s="6">
        <f t="shared" si="1"/>
        <v>0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selection activeCell="C1" sqref="C1:C1048576"/>
    </sheetView>
  </sheetViews>
  <sheetFormatPr defaultRowHeight="17.399999999999999" x14ac:dyDescent="0.4"/>
  <cols>
    <col min="1" max="1" width="12" customWidth="1"/>
    <col min="2" max="7" width="13" customWidth="1"/>
  </cols>
  <sheetData>
    <row r="1" spans="1:7" x14ac:dyDescent="0.4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4">
      <c r="A2" s="2" t="s">
        <v>82</v>
      </c>
      <c r="B2" s="3">
        <v>17561</v>
      </c>
      <c r="C2" s="3">
        <v>12219</v>
      </c>
      <c r="D2" s="3">
        <v>66856</v>
      </c>
      <c r="E2" s="3">
        <v>21609</v>
      </c>
      <c r="G2" s="4">
        <f>SUM(B2:F2)</f>
        <v>118245</v>
      </c>
    </row>
    <row r="3" spans="1:7" x14ac:dyDescent="0.4">
      <c r="A3" s="2" t="s">
        <v>83</v>
      </c>
      <c r="B3" s="3">
        <v>21008</v>
      </c>
      <c r="C3" s="3">
        <v>14027</v>
      </c>
      <c r="D3" s="3">
        <v>100564</v>
      </c>
      <c r="E3" s="3">
        <v>20151</v>
      </c>
      <c r="G3" s="4">
        <f>SUM(B3:F3)</f>
        <v>155750</v>
      </c>
    </row>
    <row r="4" spans="1:7" x14ac:dyDescent="0.4">
      <c r="A4" s="2" t="s">
        <v>84</v>
      </c>
      <c r="B4" s="3">
        <v>15193</v>
      </c>
      <c r="C4" s="3">
        <v>10020</v>
      </c>
      <c r="D4" s="3">
        <v>80630</v>
      </c>
      <c r="E4" s="3">
        <v>22812</v>
      </c>
      <c r="G4" s="4">
        <f>SUM(B4:F4)</f>
        <v>128655</v>
      </c>
    </row>
    <row r="5" spans="1:7" x14ac:dyDescent="0.4">
      <c r="A5" s="2" t="s">
        <v>85</v>
      </c>
      <c r="B5" s="3">
        <v>22542</v>
      </c>
      <c r="C5" s="3">
        <v>8235</v>
      </c>
      <c r="D5" s="3">
        <v>61964</v>
      </c>
      <c r="E5" s="3">
        <v>16262</v>
      </c>
      <c r="G5" s="4">
        <f>SUM(B5:F5)</f>
        <v>109003</v>
      </c>
    </row>
    <row r="6" spans="1:7" x14ac:dyDescent="0.4">
      <c r="A6" s="2" t="s">
        <v>86</v>
      </c>
      <c r="B6" s="3">
        <v>20639</v>
      </c>
      <c r="C6" s="3">
        <v>12278</v>
      </c>
      <c r="D6" s="3">
        <v>62542</v>
      </c>
      <c r="E6" s="3">
        <v>21072</v>
      </c>
      <c r="G6" s="4">
        <f>SUM(B6:F6)</f>
        <v>116531</v>
      </c>
    </row>
    <row r="7" spans="1:7" x14ac:dyDescent="0.4">
      <c r="A7" s="2" t="s">
        <v>87</v>
      </c>
      <c r="B7" s="3">
        <v>13723</v>
      </c>
      <c r="C7" s="3">
        <v>7403</v>
      </c>
      <c r="D7" s="3">
        <v>48630</v>
      </c>
      <c r="E7" s="3">
        <v>15401</v>
      </c>
      <c r="G7" s="4">
        <f>SUM(B7:F7)</f>
        <v>85157</v>
      </c>
    </row>
    <row r="8" spans="1:7" x14ac:dyDescent="0.4">
      <c r="A8" s="2" t="s">
        <v>88</v>
      </c>
      <c r="B8" s="3">
        <v>20894</v>
      </c>
      <c r="C8" s="3">
        <v>7255</v>
      </c>
      <c r="D8" s="3">
        <v>69825</v>
      </c>
      <c r="E8" s="3">
        <v>18081</v>
      </c>
      <c r="G8" s="4">
        <f>SUM(B8:F8)</f>
        <v>116055</v>
      </c>
    </row>
    <row r="9" spans="1:7" x14ac:dyDescent="0.4">
      <c r="A9" s="2" t="s">
        <v>89</v>
      </c>
      <c r="B9" s="3">
        <v>19316</v>
      </c>
      <c r="C9" s="3">
        <v>7463</v>
      </c>
      <c r="D9" s="3">
        <v>79172</v>
      </c>
      <c r="E9" s="3">
        <v>19402</v>
      </c>
      <c r="G9" s="4">
        <f>SUM(B9:F9)</f>
        <v>125353</v>
      </c>
    </row>
    <row r="10" spans="1:7" x14ac:dyDescent="0.4">
      <c r="A10" s="2" t="s">
        <v>90</v>
      </c>
      <c r="B10" s="3">
        <v>19283</v>
      </c>
      <c r="C10" s="3">
        <v>9973</v>
      </c>
      <c r="D10" s="3">
        <v>88109</v>
      </c>
      <c r="E10" s="3">
        <v>23223</v>
      </c>
      <c r="G10" s="4">
        <f>SUM(B10:F10)</f>
        <v>140588</v>
      </c>
    </row>
    <row r="11" spans="1:7" x14ac:dyDescent="0.4">
      <c r="A11" s="2" t="s">
        <v>91</v>
      </c>
      <c r="B11" s="3">
        <v>24607</v>
      </c>
      <c r="C11" s="3">
        <v>11955</v>
      </c>
      <c r="D11" s="3">
        <v>72580</v>
      </c>
      <c r="E11" s="3">
        <v>22337</v>
      </c>
      <c r="G11" s="4">
        <f>SUM(B11:F11)</f>
        <v>131479</v>
      </c>
    </row>
    <row r="12" spans="1:7" x14ac:dyDescent="0.4">
      <c r="A12" s="2" t="s">
        <v>92</v>
      </c>
      <c r="B12" s="3">
        <v>20355</v>
      </c>
      <c r="C12" s="3">
        <v>12355</v>
      </c>
      <c r="D12" s="3">
        <v>83471</v>
      </c>
      <c r="E12" s="3">
        <v>25656</v>
      </c>
      <c r="G12" s="4">
        <f>SUM(B12:F12)</f>
        <v>141837</v>
      </c>
    </row>
    <row r="13" spans="1:7" x14ac:dyDescent="0.4">
      <c r="A13" s="2" t="s">
        <v>93</v>
      </c>
      <c r="B13" s="3">
        <v>27044</v>
      </c>
      <c r="C13" s="3">
        <v>14835</v>
      </c>
      <c r="D13" s="3">
        <v>75204</v>
      </c>
      <c r="E13" s="3">
        <v>22594</v>
      </c>
      <c r="G13" s="4">
        <f>SUM(B13:F13)</f>
        <v>139677</v>
      </c>
    </row>
    <row r="14" spans="1:7" x14ac:dyDescent="0.4">
      <c r="A14" s="5" t="s">
        <v>0</v>
      </c>
      <c r="B14" s="6">
        <f t="shared" ref="B14:G14" si="0">SUM(B2:B13)</f>
        <v>242165</v>
      </c>
      <c r="C14" s="6">
        <f t="shared" si="0"/>
        <v>128018</v>
      </c>
      <c r="D14" s="6">
        <f t="shared" si="0"/>
        <v>889547</v>
      </c>
      <c r="E14" s="6">
        <f t="shared" si="0"/>
        <v>248600</v>
      </c>
      <c r="F14" s="6">
        <f t="shared" si="0"/>
        <v>0</v>
      </c>
      <c r="G14" s="6">
        <f t="shared" si="0"/>
        <v>1508330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workbookViewId="0">
      <selection activeCell="E20" sqref="E20"/>
    </sheetView>
  </sheetViews>
  <sheetFormatPr defaultRowHeight="17.399999999999999" x14ac:dyDescent="0.4"/>
  <cols>
    <col min="1" max="1" width="12" customWidth="1"/>
    <col min="2" max="8" width="13" customWidth="1"/>
  </cols>
  <sheetData>
    <row r="1" spans="1:8" x14ac:dyDescent="0.4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4">
      <c r="A2" s="2" t="s">
        <v>94</v>
      </c>
      <c r="B2" s="3">
        <v>50419</v>
      </c>
      <c r="C2" s="3">
        <v>36048</v>
      </c>
      <c r="D2" s="3">
        <v>22564</v>
      </c>
      <c r="E2" s="3">
        <v>139466</v>
      </c>
      <c r="F2" s="3">
        <v>55052</v>
      </c>
      <c r="H2" s="4">
        <f>SUM(B2:G2)</f>
        <v>303549</v>
      </c>
    </row>
    <row r="3" spans="1:8" x14ac:dyDescent="0.4">
      <c r="A3" s="2" t="s">
        <v>95</v>
      </c>
      <c r="B3" s="3">
        <v>63872</v>
      </c>
      <c r="C3" s="3">
        <v>27236</v>
      </c>
      <c r="D3" s="3">
        <v>20260</v>
      </c>
      <c r="E3" s="3">
        <v>199415</v>
      </c>
      <c r="F3" s="3">
        <v>37988</v>
      </c>
      <c r="H3" s="4">
        <f>SUM(B3:G3)</f>
        <v>348771</v>
      </c>
    </row>
    <row r="4" spans="1:8" x14ac:dyDescent="0.4">
      <c r="A4" s="2" t="s">
        <v>96</v>
      </c>
      <c r="B4" s="3">
        <v>46400</v>
      </c>
      <c r="C4" s="3">
        <v>29208</v>
      </c>
      <c r="D4" s="3">
        <v>25035</v>
      </c>
      <c r="E4" s="3">
        <v>141016</v>
      </c>
      <c r="F4" s="3">
        <v>47769</v>
      </c>
      <c r="H4" s="4">
        <f>SUM(B4:G4)</f>
        <v>289428</v>
      </c>
    </row>
    <row r="5" spans="1:8" x14ac:dyDescent="0.4">
      <c r="A5" s="2" t="s">
        <v>97</v>
      </c>
      <c r="B5" s="3">
        <v>40170</v>
      </c>
      <c r="C5" s="3">
        <v>24083</v>
      </c>
      <c r="D5" s="3">
        <v>24284</v>
      </c>
      <c r="E5" s="3">
        <v>139772</v>
      </c>
      <c r="F5" s="3">
        <v>42311</v>
      </c>
      <c r="H5" s="4">
        <f>SUM(B5:G5)</f>
        <v>270620</v>
      </c>
    </row>
    <row r="6" spans="1:8" x14ac:dyDescent="0.4">
      <c r="A6" s="2" t="s">
        <v>98</v>
      </c>
      <c r="B6" s="3">
        <v>52405</v>
      </c>
      <c r="C6" s="3">
        <v>29371</v>
      </c>
      <c r="D6" s="3">
        <v>20660</v>
      </c>
      <c r="E6" s="3">
        <v>124058</v>
      </c>
      <c r="F6" s="3">
        <v>33763</v>
      </c>
      <c r="H6" s="4">
        <f>SUM(B6:G6)</f>
        <v>260257</v>
      </c>
    </row>
    <row r="7" spans="1:8" x14ac:dyDescent="0.4">
      <c r="A7" s="2" t="s">
        <v>99</v>
      </c>
      <c r="B7" s="3">
        <v>32121</v>
      </c>
      <c r="C7" s="3">
        <v>25638</v>
      </c>
      <c r="D7" s="3">
        <v>16710</v>
      </c>
      <c r="E7" s="3">
        <v>103340</v>
      </c>
      <c r="F7" s="3">
        <v>35137</v>
      </c>
      <c r="H7" s="4">
        <f>SUM(B7:G7)</f>
        <v>212946</v>
      </c>
    </row>
    <row r="8" spans="1:8" x14ac:dyDescent="0.4">
      <c r="A8" s="2" t="s">
        <v>100</v>
      </c>
      <c r="B8" s="3">
        <v>49119</v>
      </c>
      <c r="C8" s="3">
        <v>20207</v>
      </c>
      <c r="D8" s="3">
        <v>15871</v>
      </c>
      <c r="E8" s="3">
        <v>102000</v>
      </c>
      <c r="F8" s="3">
        <v>30591</v>
      </c>
      <c r="H8" s="4">
        <f>SUM(B8:G8)</f>
        <v>217788</v>
      </c>
    </row>
    <row r="9" spans="1:8" x14ac:dyDescent="0.4">
      <c r="A9" s="2" t="s">
        <v>101</v>
      </c>
      <c r="B9" s="3">
        <v>30030</v>
      </c>
      <c r="C9" s="3">
        <v>20109</v>
      </c>
      <c r="D9" s="3">
        <v>24536</v>
      </c>
      <c r="E9" s="3">
        <v>123629</v>
      </c>
      <c r="F9" s="3">
        <v>38912</v>
      </c>
      <c r="H9" s="4">
        <f>SUM(B9:G9)</f>
        <v>237216</v>
      </c>
    </row>
    <row r="10" spans="1:8" x14ac:dyDescent="0.4">
      <c r="A10" s="2" t="s">
        <v>102</v>
      </c>
      <c r="B10" s="3">
        <v>55264</v>
      </c>
      <c r="C10" s="3">
        <v>31636</v>
      </c>
      <c r="D10" s="3">
        <v>24197</v>
      </c>
      <c r="E10" s="3">
        <v>139499</v>
      </c>
      <c r="F10" s="3">
        <v>40426</v>
      </c>
      <c r="H10" s="4">
        <f>SUM(B10:G10)</f>
        <v>291022</v>
      </c>
    </row>
    <row r="11" spans="1:8" x14ac:dyDescent="0.4">
      <c r="A11" s="2" t="s">
        <v>103</v>
      </c>
      <c r="B11" s="3">
        <v>36199</v>
      </c>
      <c r="C11" s="3">
        <v>26370</v>
      </c>
      <c r="D11" s="3">
        <v>27090</v>
      </c>
      <c r="E11" s="3">
        <v>134633</v>
      </c>
      <c r="F11" s="3">
        <v>32793</v>
      </c>
      <c r="H11" s="4">
        <f>SUM(B11:G11)</f>
        <v>257085</v>
      </c>
    </row>
    <row r="12" spans="1:8" x14ac:dyDescent="0.4">
      <c r="A12" s="2" t="s">
        <v>104</v>
      </c>
      <c r="B12" s="3">
        <v>41688</v>
      </c>
      <c r="C12" s="3">
        <v>31630</v>
      </c>
      <c r="D12" s="3">
        <v>24201</v>
      </c>
      <c r="E12" s="3">
        <v>203150</v>
      </c>
      <c r="F12" s="3">
        <v>38775</v>
      </c>
      <c r="H12" s="4">
        <f>SUM(B12:G12)</f>
        <v>339444</v>
      </c>
    </row>
    <row r="13" spans="1:8" x14ac:dyDescent="0.4">
      <c r="A13" s="2" t="s">
        <v>105</v>
      </c>
      <c r="B13" s="3">
        <v>56519</v>
      </c>
      <c r="C13" s="3">
        <v>26460</v>
      </c>
      <c r="D13" s="3">
        <v>27135</v>
      </c>
      <c r="E13" s="3">
        <v>158886</v>
      </c>
      <c r="F13" s="3">
        <v>46544</v>
      </c>
      <c r="H13" s="4">
        <f>SUM(B13:G13)</f>
        <v>315544</v>
      </c>
    </row>
    <row r="14" spans="1:8" x14ac:dyDescent="0.4">
      <c r="A14" s="5" t="s">
        <v>0</v>
      </c>
      <c r="B14" s="6">
        <f t="shared" ref="B14:H14" si="0">SUM(B2:B13)</f>
        <v>554206</v>
      </c>
      <c r="C14" s="6">
        <f t="shared" si="0"/>
        <v>327996</v>
      </c>
      <c r="D14" s="6">
        <f t="shared" si="0"/>
        <v>272543</v>
      </c>
      <c r="E14" s="6">
        <f t="shared" si="0"/>
        <v>1708864</v>
      </c>
      <c r="F14" s="6">
        <f t="shared" si="0"/>
        <v>480061</v>
      </c>
      <c r="G14" s="6">
        <f t="shared" si="0"/>
        <v>0</v>
      </c>
      <c r="H14" s="6">
        <f t="shared" si="0"/>
        <v>3343670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tabSelected="1" workbookViewId="0">
      <selection activeCell="G18" sqref="G18"/>
    </sheetView>
  </sheetViews>
  <sheetFormatPr defaultRowHeight="17.399999999999999" x14ac:dyDescent="0.4"/>
  <cols>
    <col min="1" max="1" width="12" customWidth="1"/>
    <col min="2" max="9" width="13" customWidth="1"/>
  </cols>
  <sheetData>
    <row r="1" spans="1:9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">
      <c r="A2" s="2" t="s">
        <v>106</v>
      </c>
      <c r="B2" s="3">
        <v>35794</v>
      </c>
      <c r="C2" s="3">
        <v>31142</v>
      </c>
      <c r="D2" s="3">
        <v>17277</v>
      </c>
      <c r="E2" s="3">
        <v>14152</v>
      </c>
      <c r="F2" s="3">
        <v>90163</v>
      </c>
      <c r="G2" s="3">
        <v>28147</v>
      </c>
      <c r="I2" s="4">
        <f t="shared" ref="I2:I13" si="0">SUM(B2:H2)</f>
        <v>216675</v>
      </c>
    </row>
    <row r="3" spans="1:9" x14ac:dyDescent="0.4">
      <c r="A3" s="2" t="s">
        <v>107</v>
      </c>
      <c r="B3" s="3">
        <v>24595</v>
      </c>
      <c r="C3" s="3">
        <v>37267</v>
      </c>
      <c r="D3" s="3">
        <v>13498</v>
      </c>
      <c r="E3" s="3">
        <v>11228</v>
      </c>
      <c r="F3" s="3">
        <v>63396</v>
      </c>
      <c r="G3" s="3">
        <v>17280</v>
      </c>
      <c r="I3" s="4">
        <f t="shared" si="0"/>
        <v>167264</v>
      </c>
    </row>
    <row r="4" spans="1:9" x14ac:dyDescent="0.4">
      <c r="A4" s="2" t="s">
        <v>108</v>
      </c>
      <c r="B4" s="3">
        <v>26172</v>
      </c>
      <c r="C4" s="3">
        <v>26868</v>
      </c>
      <c r="D4" s="3">
        <v>12264</v>
      </c>
      <c r="E4" s="3">
        <v>12874</v>
      </c>
      <c r="F4" s="3">
        <v>77104</v>
      </c>
      <c r="G4" s="3">
        <v>19540</v>
      </c>
      <c r="I4" s="4">
        <f t="shared" si="0"/>
        <v>174822</v>
      </c>
    </row>
    <row r="5" spans="1:9" x14ac:dyDescent="0.4">
      <c r="A5" s="2" t="s">
        <v>109</v>
      </c>
      <c r="B5" s="3">
        <v>30298</v>
      </c>
      <c r="C5" s="3">
        <v>34317</v>
      </c>
      <c r="D5" s="3">
        <v>15052</v>
      </c>
      <c r="E5" s="3">
        <v>12607</v>
      </c>
      <c r="F5" s="3">
        <v>85178</v>
      </c>
      <c r="G5" s="3">
        <v>19251</v>
      </c>
      <c r="I5" s="4">
        <f t="shared" si="0"/>
        <v>196703</v>
      </c>
    </row>
    <row r="6" spans="1:9" x14ac:dyDescent="0.4">
      <c r="A6" s="2" t="s">
        <v>110</v>
      </c>
      <c r="B6" s="3">
        <v>26845</v>
      </c>
      <c r="C6" s="3">
        <v>36126</v>
      </c>
      <c r="D6" s="3">
        <v>16480</v>
      </c>
      <c r="E6" s="3">
        <v>9166</v>
      </c>
      <c r="F6" s="3">
        <v>58307</v>
      </c>
      <c r="G6" s="3">
        <v>18076</v>
      </c>
      <c r="I6" s="4">
        <f t="shared" si="0"/>
        <v>165000</v>
      </c>
    </row>
    <row r="7" spans="1:9" x14ac:dyDescent="0.4">
      <c r="A7" s="2" t="s">
        <v>111</v>
      </c>
      <c r="B7" s="3">
        <v>21985</v>
      </c>
      <c r="C7" s="3">
        <v>22804</v>
      </c>
      <c r="D7" s="3">
        <v>9780</v>
      </c>
      <c r="E7" s="3">
        <v>10852</v>
      </c>
      <c r="F7" s="3">
        <v>65442</v>
      </c>
      <c r="G7" s="3">
        <v>20762</v>
      </c>
      <c r="I7" s="4">
        <f t="shared" si="0"/>
        <v>151625</v>
      </c>
    </row>
    <row r="8" spans="1:9" x14ac:dyDescent="0.4">
      <c r="A8" s="2" t="s">
        <v>112</v>
      </c>
      <c r="B8" s="3">
        <v>21184</v>
      </c>
      <c r="C8" s="3">
        <v>20150</v>
      </c>
      <c r="D8" s="3">
        <v>9271</v>
      </c>
      <c r="E8" s="3">
        <v>9579</v>
      </c>
      <c r="F8" s="3">
        <v>54214</v>
      </c>
      <c r="G8" s="3">
        <v>14878</v>
      </c>
      <c r="I8" s="4">
        <f t="shared" si="0"/>
        <v>129276</v>
      </c>
    </row>
    <row r="9" spans="1:9" x14ac:dyDescent="0.4">
      <c r="A9" s="2" t="s">
        <v>113</v>
      </c>
      <c r="B9" s="3">
        <v>26157</v>
      </c>
      <c r="C9" s="3">
        <v>29783</v>
      </c>
      <c r="D9" s="3">
        <v>12494</v>
      </c>
      <c r="E9" s="3">
        <v>12152</v>
      </c>
      <c r="F9" s="3">
        <v>74362</v>
      </c>
      <c r="G9" s="3">
        <v>18464</v>
      </c>
      <c r="I9" s="4">
        <f t="shared" si="0"/>
        <v>173412</v>
      </c>
    </row>
    <row r="10" spans="1:9" x14ac:dyDescent="0.4">
      <c r="A10" s="2" t="s">
        <v>114</v>
      </c>
      <c r="B10" s="3">
        <v>19252</v>
      </c>
      <c r="C10" s="3">
        <v>33844</v>
      </c>
      <c r="D10" s="3">
        <v>13958</v>
      </c>
      <c r="E10" s="3">
        <v>12550</v>
      </c>
      <c r="F10" s="3">
        <v>84562</v>
      </c>
      <c r="G10" s="3">
        <v>16814</v>
      </c>
      <c r="I10" s="4">
        <f t="shared" si="0"/>
        <v>180980</v>
      </c>
    </row>
    <row r="11" spans="1:9" x14ac:dyDescent="0.4">
      <c r="A11" s="2" t="s">
        <v>115</v>
      </c>
      <c r="B11" s="3">
        <v>26684</v>
      </c>
      <c r="C11" s="3">
        <v>29875</v>
      </c>
      <c r="D11" s="3">
        <v>11271</v>
      </c>
      <c r="E11" s="3">
        <v>10780</v>
      </c>
      <c r="F11" s="3">
        <v>64165</v>
      </c>
      <c r="G11" s="3">
        <v>21701</v>
      </c>
      <c r="I11" s="4">
        <f t="shared" si="0"/>
        <v>164476</v>
      </c>
    </row>
    <row r="12" spans="1:9" x14ac:dyDescent="0.4">
      <c r="A12" s="2" t="s">
        <v>116</v>
      </c>
      <c r="B12" s="3">
        <v>26303</v>
      </c>
      <c r="C12" s="3">
        <v>37840</v>
      </c>
      <c r="D12" s="3">
        <v>14566</v>
      </c>
      <c r="E12" s="3">
        <v>16403</v>
      </c>
      <c r="F12" s="3">
        <v>93121</v>
      </c>
      <c r="G12" s="3">
        <v>23576</v>
      </c>
      <c r="I12" s="4">
        <f t="shared" si="0"/>
        <v>211809</v>
      </c>
    </row>
    <row r="13" spans="1:9" x14ac:dyDescent="0.4">
      <c r="A13" s="2" t="s">
        <v>117</v>
      </c>
      <c r="B13" s="3">
        <v>26083</v>
      </c>
      <c r="C13" s="3">
        <v>31451</v>
      </c>
      <c r="D13" s="3">
        <v>20122</v>
      </c>
      <c r="E13" s="3">
        <v>12774</v>
      </c>
      <c r="F13" s="3">
        <v>81087</v>
      </c>
      <c r="G13" s="3">
        <v>28613</v>
      </c>
      <c r="I13" s="4">
        <f t="shared" si="0"/>
        <v>200130</v>
      </c>
    </row>
    <row r="14" spans="1:9" x14ac:dyDescent="0.4">
      <c r="A14" s="5" t="s">
        <v>0</v>
      </c>
      <c r="B14" s="6">
        <f t="shared" ref="B14:I14" si="1">SUM(B2:B13)</f>
        <v>311352</v>
      </c>
      <c r="C14" s="6">
        <f t="shared" si="1"/>
        <v>371467</v>
      </c>
      <c r="D14" s="6">
        <f t="shared" si="1"/>
        <v>166033</v>
      </c>
      <c r="E14" s="6">
        <f t="shared" si="1"/>
        <v>145117</v>
      </c>
      <c r="F14" s="6">
        <f t="shared" si="1"/>
        <v>891101</v>
      </c>
      <c r="G14" s="6">
        <f t="shared" si="1"/>
        <v>247102</v>
      </c>
      <c r="H14" s="6">
        <f t="shared" si="1"/>
        <v>0</v>
      </c>
      <c r="I14" s="6">
        <f t="shared" si="1"/>
        <v>2132172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"/>
  <sheetViews>
    <sheetView workbookViewId="0"/>
  </sheetViews>
  <sheetFormatPr defaultRowHeight="17.399999999999999" x14ac:dyDescent="0.4"/>
  <cols>
    <col min="1" max="1" width="12" customWidth="1"/>
    <col min="2" max="9" width="13" customWidth="1"/>
  </cols>
  <sheetData>
    <row r="1" spans="1:9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">
      <c r="A2" s="2" t="s">
        <v>118</v>
      </c>
      <c r="B2" s="3">
        <v>18595</v>
      </c>
      <c r="C2" s="3">
        <v>22002</v>
      </c>
      <c r="D2" s="3">
        <v>8895</v>
      </c>
      <c r="E2" s="3">
        <v>8028</v>
      </c>
      <c r="F2" s="3">
        <v>60548</v>
      </c>
      <c r="G2" s="3">
        <v>16294</v>
      </c>
      <c r="I2" s="4">
        <f t="shared" ref="I2:I13" si="0">SUM(B2:H2)</f>
        <v>134362</v>
      </c>
    </row>
    <row r="3" spans="1:9" x14ac:dyDescent="0.4">
      <c r="A3" s="2" t="s">
        <v>119</v>
      </c>
      <c r="B3" s="3">
        <v>15509</v>
      </c>
      <c r="C3" s="3">
        <v>23566</v>
      </c>
      <c r="D3" s="3">
        <v>12796</v>
      </c>
      <c r="E3" s="3">
        <v>8358</v>
      </c>
      <c r="F3" s="3">
        <v>58986</v>
      </c>
      <c r="G3" s="3">
        <v>12430</v>
      </c>
      <c r="I3" s="4">
        <f t="shared" si="0"/>
        <v>131645</v>
      </c>
    </row>
    <row r="4" spans="1:9" x14ac:dyDescent="0.4">
      <c r="A4" s="2" t="s">
        <v>120</v>
      </c>
      <c r="B4" s="3">
        <v>16694</v>
      </c>
      <c r="C4" s="3">
        <v>17392</v>
      </c>
      <c r="D4" s="3">
        <v>7601</v>
      </c>
      <c r="E4" s="3">
        <v>7690</v>
      </c>
      <c r="F4" s="3">
        <v>47886</v>
      </c>
      <c r="G4" s="3">
        <v>10621</v>
      </c>
      <c r="I4" s="4">
        <f t="shared" si="0"/>
        <v>107884</v>
      </c>
    </row>
    <row r="5" spans="1:9" x14ac:dyDescent="0.4">
      <c r="A5" s="2" t="s">
        <v>121</v>
      </c>
      <c r="B5" s="3">
        <v>19101</v>
      </c>
      <c r="C5" s="3">
        <v>19614</v>
      </c>
      <c r="D5" s="3">
        <v>7413</v>
      </c>
      <c r="E5" s="3">
        <v>8745</v>
      </c>
      <c r="F5" s="3">
        <v>46629</v>
      </c>
      <c r="G5" s="3">
        <v>14776</v>
      </c>
      <c r="I5" s="4">
        <f t="shared" si="0"/>
        <v>116278</v>
      </c>
    </row>
    <row r="6" spans="1:9" x14ac:dyDescent="0.4">
      <c r="A6" s="2" t="s">
        <v>122</v>
      </c>
      <c r="B6" s="3">
        <v>14039</v>
      </c>
      <c r="C6" s="3">
        <v>23347</v>
      </c>
      <c r="D6" s="3">
        <v>11368</v>
      </c>
      <c r="E6" s="3">
        <v>6538</v>
      </c>
      <c r="F6" s="3">
        <v>47863</v>
      </c>
      <c r="G6" s="3">
        <v>12556</v>
      </c>
      <c r="I6" s="4">
        <f t="shared" si="0"/>
        <v>115711</v>
      </c>
    </row>
    <row r="7" spans="1:9" x14ac:dyDescent="0.4">
      <c r="A7" s="2" t="s">
        <v>123</v>
      </c>
      <c r="B7" s="3">
        <v>13513</v>
      </c>
      <c r="C7" s="3">
        <v>20224</v>
      </c>
      <c r="D7" s="3">
        <v>9210</v>
      </c>
      <c r="E7" s="3">
        <v>5661</v>
      </c>
      <c r="F7" s="3">
        <v>45418</v>
      </c>
      <c r="G7" s="3">
        <v>10851</v>
      </c>
      <c r="I7" s="4">
        <f t="shared" si="0"/>
        <v>104877</v>
      </c>
    </row>
    <row r="8" spans="1:9" x14ac:dyDescent="0.4">
      <c r="A8" s="2" t="s">
        <v>124</v>
      </c>
      <c r="B8" s="3">
        <v>13510</v>
      </c>
      <c r="C8" s="3">
        <v>19724</v>
      </c>
      <c r="D8" s="3">
        <v>6945</v>
      </c>
      <c r="E8" s="3">
        <v>5732</v>
      </c>
      <c r="F8" s="3">
        <v>41391</v>
      </c>
      <c r="G8" s="3">
        <v>14160</v>
      </c>
      <c r="I8" s="4">
        <f t="shared" si="0"/>
        <v>101462</v>
      </c>
    </row>
    <row r="9" spans="1:9" x14ac:dyDescent="0.4">
      <c r="A9" s="2" t="s">
        <v>125</v>
      </c>
      <c r="B9" s="3">
        <v>11093</v>
      </c>
      <c r="C9" s="3">
        <v>17327</v>
      </c>
      <c r="D9" s="3">
        <v>7188</v>
      </c>
      <c r="E9" s="3">
        <v>6540</v>
      </c>
      <c r="F9" s="3">
        <v>40528</v>
      </c>
      <c r="G9" s="3">
        <v>11080</v>
      </c>
      <c r="I9" s="4">
        <f t="shared" si="0"/>
        <v>93756</v>
      </c>
    </row>
    <row r="10" spans="1:9" x14ac:dyDescent="0.4">
      <c r="A10" s="2" t="s">
        <v>126</v>
      </c>
      <c r="B10" s="3">
        <v>13368</v>
      </c>
      <c r="C10" s="3">
        <v>21974</v>
      </c>
      <c r="D10" s="3">
        <v>9496</v>
      </c>
      <c r="E10" s="3">
        <v>6500</v>
      </c>
      <c r="F10" s="3">
        <v>53096</v>
      </c>
      <c r="G10" s="3">
        <v>10290</v>
      </c>
      <c r="I10" s="4">
        <f t="shared" si="0"/>
        <v>114724</v>
      </c>
    </row>
    <row r="11" spans="1:9" x14ac:dyDescent="0.4">
      <c r="A11" s="2" t="s">
        <v>127</v>
      </c>
      <c r="B11" s="3">
        <v>17457</v>
      </c>
      <c r="C11" s="3">
        <v>23114</v>
      </c>
      <c r="D11" s="3">
        <v>8644</v>
      </c>
      <c r="E11" s="3">
        <v>8113</v>
      </c>
      <c r="F11" s="3">
        <v>54151</v>
      </c>
      <c r="G11" s="3">
        <v>16538</v>
      </c>
      <c r="I11" s="4">
        <f t="shared" si="0"/>
        <v>128017</v>
      </c>
    </row>
    <row r="12" spans="1:9" x14ac:dyDescent="0.4">
      <c r="A12" s="2" t="s">
        <v>128</v>
      </c>
      <c r="B12" s="3">
        <v>13992</v>
      </c>
      <c r="C12" s="3">
        <v>23026</v>
      </c>
      <c r="D12" s="3">
        <v>11017</v>
      </c>
      <c r="E12" s="3">
        <v>10219</v>
      </c>
      <c r="F12" s="3">
        <v>63707</v>
      </c>
      <c r="G12" s="3">
        <v>14875</v>
      </c>
      <c r="I12" s="4">
        <f t="shared" si="0"/>
        <v>136836</v>
      </c>
    </row>
    <row r="13" spans="1:9" x14ac:dyDescent="0.4">
      <c r="A13" s="2" t="s">
        <v>129</v>
      </c>
      <c r="B13" s="3">
        <v>17815</v>
      </c>
      <c r="C13" s="3">
        <v>25558</v>
      </c>
      <c r="D13" s="3">
        <v>10067</v>
      </c>
      <c r="E13" s="3">
        <v>9292</v>
      </c>
      <c r="F13" s="3">
        <v>44392</v>
      </c>
      <c r="G13" s="3">
        <v>15099</v>
      </c>
      <c r="I13" s="4">
        <f t="shared" si="0"/>
        <v>122223</v>
      </c>
    </row>
    <row r="14" spans="1:9" x14ac:dyDescent="0.4">
      <c r="A14" s="5" t="s">
        <v>0</v>
      </c>
      <c r="B14" s="6">
        <f t="shared" ref="B14:I14" si="1">SUM(B2:B13)</f>
        <v>184686</v>
      </c>
      <c r="C14" s="6">
        <f t="shared" si="1"/>
        <v>256868</v>
      </c>
      <c r="D14" s="6">
        <f t="shared" si="1"/>
        <v>110640</v>
      </c>
      <c r="E14" s="6">
        <f t="shared" si="1"/>
        <v>91416</v>
      </c>
      <c r="F14" s="6">
        <f t="shared" si="1"/>
        <v>604595</v>
      </c>
      <c r="G14" s="6">
        <f t="shared" si="1"/>
        <v>159570</v>
      </c>
      <c r="H14" s="6">
        <f t="shared" si="1"/>
        <v>0</v>
      </c>
      <c r="I14" s="6">
        <f t="shared" si="1"/>
        <v>1407775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"/>
  <sheetViews>
    <sheetView workbookViewId="0">
      <selection activeCell="D23" sqref="D23"/>
    </sheetView>
  </sheetViews>
  <sheetFormatPr defaultRowHeight="17.399999999999999" x14ac:dyDescent="0.4"/>
  <cols>
    <col min="1" max="1" width="12" customWidth="1"/>
    <col min="2" max="9" width="13" customWidth="1"/>
  </cols>
  <sheetData>
    <row r="1" spans="1:9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">
      <c r="A2" s="2" t="s">
        <v>130</v>
      </c>
      <c r="B2" s="3">
        <v>12334</v>
      </c>
      <c r="C2" s="3">
        <v>17861</v>
      </c>
      <c r="D2" s="3">
        <v>8241</v>
      </c>
      <c r="E2" s="3">
        <v>7211</v>
      </c>
      <c r="F2" s="3">
        <v>45086</v>
      </c>
      <c r="G2" s="3">
        <v>13566</v>
      </c>
      <c r="I2" s="4">
        <f t="shared" ref="I2:I13" si="0">SUM(B2:H2)</f>
        <v>104299</v>
      </c>
    </row>
    <row r="3" spans="1:9" x14ac:dyDescent="0.4">
      <c r="A3" s="2" t="s">
        <v>131</v>
      </c>
      <c r="B3" s="3">
        <v>12187</v>
      </c>
      <c r="C3" s="3">
        <v>18073</v>
      </c>
      <c r="D3" s="3">
        <v>8661</v>
      </c>
      <c r="E3" s="3">
        <v>7274</v>
      </c>
      <c r="F3" s="3">
        <v>29437</v>
      </c>
      <c r="G3" s="3">
        <v>9018</v>
      </c>
      <c r="I3" s="4">
        <f t="shared" si="0"/>
        <v>84650</v>
      </c>
    </row>
    <row r="4" spans="1:9" x14ac:dyDescent="0.4">
      <c r="A4" s="2" t="s">
        <v>132</v>
      </c>
      <c r="B4" s="3">
        <v>14122</v>
      </c>
      <c r="C4" s="3">
        <v>17690</v>
      </c>
      <c r="D4" s="3">
        <v>7489</v>
      </c>
      <c r="E4" s="3">
        <v>5156</v>
      </c>
      <c r="F4" s="3">
        <v>26640</v>
      </c>
      <c r="G4" s="3">
        <v>10668</v>
      </c>
      <c r="I4" s="4">
        <f t="shared" si="0"/>
        <v>81765</v>
      </c>
    </row>
    <row r="5" spans="1:9" x14ac:dyDescent="0.4">
      <c r="A5" s="2" t="s">
        <v>133</v>
      </c>
      <c r="B5" s="3">
        <v>11338</v>
      </c>
      <c r="C5" s="3">
        <v>15541</v>
      </c>
      <c r="D5" s="3">
        <v>8011</v>
      </c>
      <c r="E5" s="3">
        <v>4122</v>
      </c>
      <c r="F5" s="3">
        <v>38268</v>
      </c>
      <c r="G5" s="3">
        <v>8966</v>
      </c>
      <c r="I5" s="4">
        <f t="shared" si="0"/>
        <v>86246</v>
      </c>
    </row>
    <row r="6" spans="1:9" x14ac:dyDescent="0.4">
      <c r="A6" s="2" t="s">
        <v>134</v>
      </c>
      <c r="B6" s="3">
        <v>9599</v>
      </c>
      <c r="C6" s="3">
        <v>14387</v>
      </c>
      <c r="D6" s="3">
        <v>6886</v>
      </c>
      <c r="E6" s="3">
        <v>6113</v>
      </c>
      <c r="F6" s="3">
        <v>27832</v>
      </c>
      <c r="G6" s="3">
        <v>7894</v>
      </c>
      <c r="I6" s="4">
        <f t="shared" si="0"/>
        <v>72711</v>
      </c>
    </row>
    <row r="7" spans="1:9" x14ac:dyDescent="0.4">
      <c r="A7" s="2" t="s">
        <v>135</v>
      </c>
      <c r="B7" s="3">
        <v>10510</v>
      </c>
      <c r="C7" s="3">
        <v>10481</v>
      </c>
      <c r="D7" s="3">
        <v>6836</v>
      </c>
      <c r="E7" s="3">
        <v>3724</v>
      </c>
      <c r="F7" s="3">
        <v>27782</v>
      </c>
      <c r="G7" s="3">
        <v>7454</v>
      </c>
      <c r="I7" s="4">
        <f t="shared" si="0"/>
        <v>66787</v>
      </c>
    </row>
    <row r="8" spans="1:9" x14ac:dyDescent="0.4">
      <c r="A8" s="2" t="s">
        <v>136</v>
      </c>
      <c r="B8" s="3">
        <v>7484</v>
      </c>
      <c r="C8" s="3">
        <v>13876</v>
      </c>
      <c r="D8" s="3">
        <v>6803</v>
      </c>
      <c r="E8" s="3">
        <v>4935</v>
      </c>
      <c r="F8" s="3">
        <v>23487</v>
      </c>
      <c r="G8" s="3">
        <v>8252</v>
      </c>
      <c r="I8" s="4">
        <f t="shared" si="0"/>
        <v>64837</v>
      </c>
    </row>
    <row r="9" spans="1:9" x14ac:dyDescent="0.4">
      <c r="A9" s="2" t="s">
        <v>137</v>
      </c>
      <c r="B9" s="3">
        <v>10351</v>
      </c>
      <c r="C9" s="3">
        <v>12878</v>
      </c>
      <c r="D9" s="3">
        <v>5452</v>
      </c>
      <c r="E9" s="3">
        <v>3966</v>
      </c>
      <c r="F9" s="3">
        <v>33224</v>
      </c>
      <c r="G9" s="3">
        <v>7221</v>
      </c>
      <c r="I9" s="4">
        <f t="shared" si="0"/>
        <v>73092</v>
      </c>
    </row>
    <row r="10" spans="1:9" x14ac:dyDescent="0.4">
      <c r="A10" s="2" t="s">
        <v>138</v>
      </c>
      <c r="B10" s="3">
        <v>11569</v>
      </c>
      <c r="C10" s="3">
        <v>12305</v>
      </c>
      <c r="D10" s="3">
        <v>6906</v>
      </c>
      <c r="E10" s="3">
        <v>5532</v>
      </c>
      <c r="F10" s="3">
        <v>41544</v>
      </c>
      <c r="G10" s="3">
        <v>8976</v>
      </c>
      <c r="I10" s="4">
        <f t="shared" si="0"/>
        <v>86832</v>
      </c>
    </row>
    <row r="11" spans="1:9" x14ac:dyDescent="0.4">
      <c r="A11" s="2" t="s">
        <v>139</v>
      </c>
      <c r="B11" s="3">
        <v>12590</v>
      </c>
      <c r="C11" s="3">
        <v>12569</v>
      </c>
      <c r="D11" s="3">
        <v>6886</v>
      </c>
      <c r="E11" s="3">
        <v>5828</v>
      </c>
      <c r="F11" s="3">
        <v>37410</v>
      </c>
      <c r="G11" s="3">
        <v>7745</v>
      </c>
      <c r="I11" s="4">
        <f t="shared" si="0"/>
        <v>83028</v>
      </c>
    </row>
    <row r="12" spans="1:9" x14ac:dyDescent="0.4">
      <c r="A12" s="2" t="s">
        <v>140</v>
      </c>
      <c r="B12" s="3">
        <v>13395</v>
      </c>
      <c r="C12" s="3">
        <v>19584</v>
      </c>
      <c r="D12" s="3">
        <v>6847</v>
      </c>
      <c r="E12" s="3">
        <v>7049</v>
      </c>
      <c r="F12" s="3">
        <v>40385</v>
      </c>
      <c r="G12" s="3">
        <v>10650</v>
      </c>
      <c r="I12" s="4">
        <f t="shared" si="0"/>
        <v>97910</v>
      </c>
    </row>
    <row r="13" spans="1:9" x14ac:dyDescent="0.4">
      <c r="A13" s="2" t="s">
        <v>141</v>
      </c>
      <c r="B13" s="3">
        <v>14228</v>
      </c>
      <c r="C13" s="3">
        <v>17740</v>
      </c>
      <c r="D13" s="3">
        <v>8513</v>
      </c>
      <c r="E13" s="3">
        <v>6621</v>
      </c>
      <c r="F13" s="3">
        <v>44817</v>
      </c>
      <c r="G13" s="3">
        <v>12237</v>
      </c>
      <c r="I13" s="4">
        <f t="shared" si="0"/>
        <v>104156</v>
      </c>
    </row>
    <row r="14" spans="1:9" x14ac:dyDescent="0.4">
      <c r="A14" s="5" t="s">
        <v>0</v>
      </c>
      <c r="B14" s="6">
        <f t="shared" ref="B14:I14" si="1">SUM(B2:B13)</f>
        <v>139707</v>
      </c>
      <c r="C14" s="6">
        <f t="shared" si="1"/>
        <v>182985</v>
      </c>
      <c r="D14" s="6">
        <f t="shared" si="1"/>
        <v>87531</v>
      </c>
      <c r="E14" s="6">
        <f t="shared" si="1"/>
        <v>67531</v>
      </c>
      <c r="F14" s="6">
        <f t="shared" si="1"/>
        <v>415912</v>
      </c>
      <c r="G14" s="6">
        <f t="shared" si="1"/>
        <v>112647</v>
      </c>
      <c r="H14" s="6">
        <f t="shared" si="1"/>
        <v>0</v>
      </c>
      <c r="I14" s="6">
        <f t="shared" si="1"/>
        <v>1006313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이성한</cp:lastModifiedBy>
  <dcterms:created xsi:type="dcterms:W3CDTF">2025-11-30T09:04:32Z</dcterms:created>
  <dcterms:modified xsi:type="dcterms:W3CDTF">2026-01-04T10:06:08Z</dcterms:modified>
</cp:coreProperties>
</file>